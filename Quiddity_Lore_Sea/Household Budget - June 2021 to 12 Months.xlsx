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penses" sheetId="1" r:id="rId4"/>
    <sheet state="visible" name="Income" sheetId="2" r:id="rId5"/>
    <sheet state="visible" name="Summary" sheetId="3" r:id="rId6"/>
    <sheet state="visible" name="Setup" sheetId="4" r:id="rId7"/>
  </sheets>
  <definedNames>
    <definedName name="StartingBalance">Setup!$C$13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27">
      <text>
        <t xml:space="preserve">This formula matches the categories in column C with their locations in the 'Income' tab, then displays the resulting row number. The formula in column D uses it to calculate the values in columns D:Q. </t>
      </text>
    </comment>
    <comment authorId="0" ref="B41">
      <text>
        <t xml:space="preserve">This formula matches the categories in column C with their locations in the 'Expenses' tab, then displays the resulting row number. The formula in column D uses it to calculate the values in columns D:Q. </t>
      </text>
    </comment>
    <comment authorId="0" ref="C22">
      <text>
        <t xml:space="preserve">This total includes the 'Starting Balance' from the 'Setup' tab.</t>
      </text>
    </comment>
    <comment authorId="0" ref="C21">
      <text>
        <t xml:space="preserve">Total of Income - Expenses</t>
      </text>
    </comment>
  </commentList>
</comments>
</file>

<file path=xl/sharedStrings.xml><?xml version="1.0" encoding="utf-8"?>
<sst xmlns="http://schemas.openxmlformats.org/spreadsheetml/2006/main" count="136" uniqueCount="71">
  <si>
    <t>Annual Household budget tracker</t>
  </si>
  <si>
    <t>Income</t>
  </si>
  <si>
    <t xml:space="preserve">Plan and track your monthly spending for the entire year. </t>
  </si>
  <si>
    <t>Total</t>
  </si>
  <si>
    <t>Expenses</t>
  </si>
  <si>
    <t>Average</t>
  </si>
  <si>
    <t>Contributions</t>
  </si>
  <si>
    <t>How to use this template</t>
  </si>
  <si>
    <t>1.</t>
  </si>
  <si>
    <t>Monthly totals:</t>
  </si>
  <si>
    <t>Get started by entering your starting balance in Row 13 below.</t>
  </si>
  <si>
    <t>2.</t>
  </si>
  <si>
    <t xml:space="preserve">Then, fill out the 'Expenses' and 'Income' tabs. </t>
  </si>
  <si>
    <t>3.</t>
  </si>
  <si>
    <t>Feel free to rename or delete categories in these tabs. Your changes will automatically be reflected on the 'Summary' tab, which shows an overview of your projected/actual spending.</t>
  </si>
  <si>
    <t>Configure</t>
  </si>
  <si>
    <t>Starting balance:</t>
  </si>
  <si>
    <t>People</t>
  </si>
  <si>
    <t>Debt</t>
  </si>
  <si>
    <t>Money from James</t>
  </si>
  <si>
    <t>Household Card</t>
  </si>
  <si>
    <t>Money from Merrill</t>
  </si>
  <si>
    <t>Money from a Lodger</t>
  </si>
  <si>
    <t>Other</t>
  </si>
  <si>
    <t>Everyday</t>
  </si>
  <si>
    <t>Refunds</t>
  </si>
  <si>
    <t>Groceries</t>
  </si>
  <si>
    <t>Laundry/dry cleaning</t>
  </si>
  <si>
    <t xml:space="preserve">Cleaning </t>
  </si>
  <si>
    <t>Subscriptions</t>
  </si>
  <si>
    <t>Health/medical</t>
  </si>
  <si>
    <t>Pharmacy</t>
  </si>
  <si>
    <t>Vitamins &amp; Minireals</t>
  </si>
  <si>
    <t>Home</t>
  </si>
  <si>
    <t>Rent/mortgage</t>
  </si>
  <si>
    <t>Council Tax</t>
  </si>
  <si>
    <t>Furnishings</t>
  </si>
  <si>
    <t>Supplies</t>
  </si>
  <si>
    <t>Maintenance</t>
  </si>
  <si>
    <t>Improvements</t>
  </si>
  <si>
    <t>Insurance</t>
  </si>
  <si>
    <t>Summary</t>
  </si>
  <si>
    <t>Pet</t>
  </si>
  <si>
    <t>Net savings</t>
  </si>
  <si>
    <t>Ending balance</t>
  </si>
  <si>
    <t>Pets</t>
  </si>
  <si>
    <t>Row #</t>
  </si>
  <si>
    <t>Food</t>
  </si>
  <si>
    <t>Vet/medical</t>
  </si>
  <si>
    <t>Toys</t>
  </si>
  <si>
    <t>Total Income</t>
  </si>
  <si>
    <t>Technology</t>
  </si>
  <si>
    <t>Online services</t>
  </si>
  <si>
    <t>Hardware</t>
  </si>
  <si>
    <t>Software</t>
  </si>
  <si>
    <t>Transportation</t>
  </si>
  <si>
    <t>Utilities</t>
  </si>
  <si>
    <t>Total Expenses</t>
  </si>
  <si>
    <t>Fuel</t>
  </si>
  <si>
    <t>Repairs</t>
  </si>
  <si>
    <t>Registration/license</t>
  </si>
  <si>
    <t>Phone</t>
  </si>
  <si>
    <t>TV</t>
  </si>
  <si>
    <t>Internet</t>
  </si>
  <si>
    <t>Electricity</t>
  </si>
  <si>
    <t>Gas</t>
  </si>
  <si>
    <t>Water</t>
  </si>
  <si>
    <t>Coal</t>
  </si>
  <si>
    <t>[Category 1]</t>
  </si>
  <si>
    <t>[Category 2]</t>
  </si>
  <si>
    <t>tOtal MOnthly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</si>
</sst>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&quot;$&quot;#,##0"/>
    <numFmt numFmtId="165" formatCode="mmm"/>
    <numFmt numFmtId="166" formatCode="_([$£-809]* #,##0.00_);_([$£-809]* \(#,##0.00\);_([$£-809]* &quot;-&quot;??_);_(@_)"/>
    <numFmt numFmtId="167" formatCode="[$£-809]#,##0"/>
    <numFmt numFmtId="168" formatCode="[$£-809]#,##0.00"/>
    <numFmt numFmtId="169" formatCode="mmm&quot; '&quot;yy"/>
  </numFmts>
  <fonts count="56">
    <font>
      <sz val="10.0"/>
      <color rgb="FF000000"/>
      <name val="Arial"/>
    </font>
    <font>
      <b/>
      <color rgb="FF576475"/>
      <name val="Lato"/>
    </font>
    <font>
      <b/>
      <i/>
      <sz val="11.0"/>
      <color rgb="FF334960"/>
      <name val="Lato"/>
    </font>
    <font>
      <name val="Lato"/>
    </font>
    <font>
      <sz val="10.0"/>
      <color rgb="FF576475"/>
      <name val="Lato"/>
    </font>
    <font>
      <sz val="10.0"/>
      <color rgb="FF334960"/>
      <name val="Lato"/>
    </font>
    <font>
      <b/>
      <sz val="18.0"/>
      <color rgb="FF576475"/>
      <name val="Lato"/>
    </font>
    <font>
      <b/>
      <i/>
      <sz val="9.0"/>
      <color rgb="FF334960"/>
      <name val="Lato"/>
    </font>
    <font>
      <b/>
      <sz val="22.0"/>
      <color rgb="FFF46524"/>
      <name val="Raleway"/>
    </font>
    <font>
      <sz val="18.0"/>
      <color rgb="FFFF3800"/>
      <name val="Lato"/>
    </font>
    <font>
      <b/>
      <sz val="18.0"/>
      <color rgb="FFF46524"/>
      <name val="Raleway"/>
    </font>
    <font>
      <i/>
      <color rgb="FF576475"/>
      <name val="Lato"/>
    </font>
    <font>
      <b/>
      <sz val="11.0"/>
      <color rgb="FF334960"/>
      <name val="Lato"/>
    </font>
    <font>
      <color rgb="FF576475"/>
      <name val="Lato"/>
    </font>
    <font>
      <b/>
      <i/>
      <sz val="9.0"/>
      <color rgb="FF576475"/>
      <name val="Lato"/>
    </font>
    <font>
      <b/>
      <sz val="12.0"/>
      <color rgb="FF576475"/>
      <name val="Lato"/>
    </font>
    <font>
      <b/>
      <sz val="12.0"/>
      <color rgb="FF334960"/>
      <name val="Lato"/>
    </font>
    <font>
      <b/>
      <i/>
      <sz val="11.0"/>
      <color rgb="FF556376"/>
      <name val="Lato"/>
    </font>
    <font>
      <b/>
      <i/>
      <sz val="10.0"/>
      <color rgb="FFFFFFFF"/>
      <name val="Lato"/>
    </font>
    <font>
      <sz val="9.0"/>
      <color rgb="FF576475"/>
      <name val="Lato"/>
    </font>
    <font>
      <i/>
      <sz val="9.0"/>
      <color rgb="FFA7B0BF"/>
      <name val="Lato"/>
    </font>
    <font>
      <i/>
      <sz val="9.0"/>
      <color rgb="FF334960"/>
      <name val="Lato"/>
    </font>
    <font>
      <sz val="10.0"/>
      <color rgb="FFFFFFFF"/>
      <name val="Lato"/>
    </font>
    <font>
      <b/>
      <sz val="10.0"/>
      <color rgb="FFFFFFFF"/>
      <name val="Lato"/>
    </font>
    <font>
      <sz val="9.0"/>
      <color rgb="FFD9D9D9"/>
      <name val="Lato"/>
    </font>
    <font>
      <i/>
      <sz val="9.0"/>
      <color rgb="FF6C7687"/>
      <name val="Lato"/>
    </font>
    <font>
      <sz val="6.0"/>
      <color rgb="FFFFFFFF"/>
      <name val="Lato"/>
    </font>
    <font>
      <sz val="6.0"/>
      <color rgb="FFB7B7B7"/>
      <name val="Lato"/>
    </font>
    <font>
      <sz val="10.0"/>
      <name val="Lato"/>
    </font>
    <font>
      <i/>
      <name val="Lato"/>
    </font>
    <font>
      <b/>
      <sz val="18.0"/>
      <color rgb="FF334960"/>
      <name val="Nunito"/>
    </font>
    <font>
      <b/>
      <sz val="18.0"/>
      <color rgb="FFF46524"/>
      <name val="Nunito"/>
    </font>
    <font>
      <name val="Nunito"/>
    </font>
    <font>
      <i/>
      <name val="Nunito"/>
    </font>
    <font>
      <b/>
      <sz val="6.0"/>
      <color rgb="FFFFFFFF"/>
      <name val="Lato"/>
    </font>
    <font>
      <b/>
      <i/>
      <sz val="6.0"/>
      <color rgb="FFB7B7B7"/>
      <name val="Lato"/>
    </font>
    <font>
      <b/>
      <sz val="10.0"/>
      <color rgb="FF334960"/>
      <name val="Nunito"/>
    </font>
    <font>
      <b/>
      <sz val="11.0"/>
      <color rgb="FFF46524"/>
      <name val="Nunito"/>
    </font>
    <font>
      <b/>
      <i/>
      <sz val="11.0"/>
      <color rgb="FFF46524"/>
      <name val="Nunito"/>
    </font>
    <font>
      <b/>
      <color rgb="FFF46524"/>
      <name val="Nunito"/>
    </font>
    <font>
      <color rgb="FF576475"/>
      <name val="Nunito"/>
    </font>
    <font>
      <i/>
      <sz val="10.0"/>
      <color rgb="FF6C7687"/>
      <name val="Nunito"/>
    </font>
    <font>
      <color rgb="FF334960"/>
      <name val="Lato"/>
    </font>
    <font>
      <b/>
      <color rgb="FF334960"/>
      <name val="Lato"/>
    </font>
    <font>
      <b/>
      <sz val="11.0"/>
      <color rgb="FF576475"/>
      <name val="Nunito"/>
    </font>
    <font>
      <b/>
      <i/>
      <sz val="11.0"/>
      <color rgb="FF6C7687"/>
      <name val="Nunito"/>
    </font>
    <font>
      <color rgb="FF334960"/>
      <name val="Nunito"/>
    </font>
    <font>
      <i/>
      <color rgb="FF6C7687"/>
      <name val="Nunito"/>
    </font>
    <font>
      <sz val="11.0"/>
      <color rgb="FF334960"/>
      <name val="Nunito"/>
    </font>
    <font>
      <b/>
      <sz val="10.0"/>
      <color rgb="FFF46524"/>
      <name val="Nunito"/>
    </font>
    <font>
      <sz val="10.0"/>
      <color rgb="FF576475"/>
      <name val="Nunito"/>
    </font>
    <font>
      <b/>
      <sz val="18.0"/>
      <color rgb="FFF46524"/>
      <name val="Lato"/>
    </font>
    <font>
      <sz val="11.0"/>
      <color rgb="FF576475"/>
      <name val="Lato"/>
    </font>
    <font>
      <i/>
      <sz val="10.0"/>
      <color rgb="FF6C7687"/>
      <name val="Lato"/>
    </font>
    <font>
      <i/>
      <color rgb="FF6C7687"/>
      <name val="Lato"/>
    </font>
    <font>
      <sz val="9.0"/>
      <color rgb="FF334960"/>
      <name val="Lato"/>
    </font>
  </fonts>
  <fills count="5">
    <fill>
      <patternFill patternType="none"/>
    </fill>
    <fill>
      <patternFill patternType="lightGray"/>
    </fill>
    <fill>
      <patternFill patternType="solid">
        <fgColor rgb="FF334960"/>
        <bgColor rgb="FF334960"/>
      </patternFill>
    </fill>
    <fill>
      <patternFill patternType="solid">
        <fgColor rgb="FF6C7687"/>
        <bgColor rgb="FF6C7687"/>
      </patternFill>
    </fill>
    <fill>
      <patternFill patternType="solid">
        <fgColor rgb="FFFFFFFF"/>
        <bgColor rgb="FFFFFFFF"/>
      </patternFill>
    </fill>
  </fills>
  <borders count="24">
    <border/>
    <border>
      <left style="thin">
        <color rgb="FF334960"/>
      </left>
      <right style="thin">
        <color rgb="FF334960"/>
      </right>
      <top style="thin">
        <color rgb="FF334960"/>
      </top>
      <bottom style="thin">
        <color rgb="FF334960"/>
      </bottom>
    </border>
    <border>
      <left style="thin">
        <color rgb="FFFFFFFF"/>
      </left>
      <right style="thin">
        <color rgb="FFFFFFFF"/>
      </right>
      <bottom style="thin">
        <color rgb="FF6C7687"/>
      </bottom>
    </border>
    <border>
      <bottom style="dotted">
        <color rgb="FFA7B0BF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thin">
        <color rgb="FFFFFFFF"/>
      </left>
      <bottom style="thin">
        <color rgb="FFFFFFFF"/>
      </bottom>
    </border>
    <border>
      <left style="hair">
        <color rgb="FFFFFFFF"/>
      </left>
      <right style="hair">
        <color rgb="FFFFFFFF"/>
      </right>
      <top style="hair">
        <color rgb="FFFFFFFF"/>
      </top>
      <bottom style="hair">
        <color rgb="FFFFFFFF"/>
      </bottom>
    </border>
    <border>
      <left style="hair">
        <color rgb="FFFFFFFF"/>
      </left>
      <right style="thin">
        <color rgb="FFFFFFFF"/>
      </right>
      <top style="hair">
        <color rgb="FFFFFFFF"/>
      </top>
      <bottom style="hair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left style="hair">
        <color rgb="FFFFFFFF"/>
      </left>
      <right style="hair">
        <color rgb="FFFFFFFF"/>
      </right>
      <bottom style="hair">
        <color rgb="FFFFFFFF"/>
      </bottom>
    </border>
    <border>
      <left style="hair">
        <color rgb="FFFFFFFF"/>
      </left>
      <right style="thin">
        <color rgb="FFFFFFFF"/>
      </right>
      <bottom style="hair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A7B0BF"/>
      </bottom>
    </border>
    <border>
      <bottom style="thin">
        <color rgb="FFA7B0BF"/>
      </bottom>
    </border>
    <border>
      <bottom style="dotted">
        <color rgb="FFB7B7B7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dotted">
        <color rgb="FFA7B0B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dotted">
        <color rgb="FFB7B7B7"/>
      </bottom>
    </border>
    <border>
      <left style="thin">
        <color rgb="FFFFFFFF"/>
      </left>
      <right style="thin">
        <color rgb="FFFFFFFF"/>
      </right>
      <top style="thin">
        <color rgb="FF000000"/>
      </top>
    </border>
    <border>
      <right style="thin">
        <color rgb="FFFFFFFF"/>
      </right>
      <top style="thin">
        <color rgb="FF000000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right style="thin">
        <color rgb="FFFFFFFF"/>
      </right>
    </border>
    <border>
      <right style="thin">
        <color rgb="FFFFFFFF"/>
      </right>
      <top style="thin">
        <color rgb="FFFFFFFF"/>
      </top>
    </border>
    <border>
      <left style="thin">
        <color rgb="FFFFFFFF"/>
      </left>
    </border>
    <border>
      <left style="thin">
        <color rgb="FFFFFFFF"/>
      </left>
      <top style="thin">
        <color rgb="FF000000"/>
      </top>
    </border>
  </borders>
  <cellStyleXfs count="1">
    <xf borderId="0" fillId="0" fontId="0" numFmtId="0" applyAlignment="1" applyFont="1"/>
  </cellStyleXfs>
  <cellXfs count="167">
    <xf borderId="0" fillId="0" fontId="0" numFmtId="0" xfId="0" applyAlignment="1" applyFont="1">
      <alignment readingOrder="0" shrinkToFit="0" vertical="bottom" wrapText="0"/>
    </xf>
    <xf borderId="0" fillId="2" fontId="1" numFmtId="49" xfId="0" applyAlignment="1" applyFill="1" applyFont="1" applyNumberFormat="1">
      <alignment horizontal="left" vertical="top"/>
    </xf>
    <xf borderId="1" fillId="2" fontId="2" numFmtId="0" xfId="0" applyAlignment="1" applyBorder="1" applyFont="1">
      <alignment horizontal="right" vertical="center"/>
    </xf>
    <xf borderId="0" fillId="2" fontId="3" numFmtId="0" xfId="0" applyAlignment="1" applyFont="1">
      <alignment horizontal="left"/>
    </xf>
    <xf borderId="1" fillId="2" fontId="4" numFmtId="0" xfId="0" applyAlignment="1" applyBorder="1" applyFont="1">
      <alignment horizontal="left" vertical="center"/>
    </xf>
    <xf borderId="0" fillId="2" fontId="3" numFmtId="0" xfId="0" applyAlignment="1" applyFont="1">
      <alignment horizontal="center"/>
    </xf>
    <xf borderId="1" fillId="2" fontId="5" numFmtId="164" xfId="0" applyAlignment="1" applyBorder="1" applyFont="1" applyNumberFormat="1">
      <alignment horizontal="right" vertical="center"/>
    </xf>
    <xf borderId="0" fillId="0" fontId="6" numFmtId="49" xfId="0" applyAlignment="1" applyFont="1" applyNumberFormat="1">
      <alignment horizontal="left" vertical="top"/>
    </xf>
    <xf borderId="1" fillId="2" fontId="7" numFmtId="164" xfId="0" applyAlignment="1" applyBorder="1" applyFont="1" applyNumberFormat="1">
      <alignment horizontal="right" vertical="center"/>
    </xf>
    <xf borderId="0" fillId="0" fontId="8" numFmtId="0" xfId="0" applyAlignment="1" applyFont="1">
      <alignment horizontal="left" readingOrder="0"/>
    </xf>
    <xf borderId="1" fillId="2" fontId="7" numFmtId="0" xfId="0" applyAlignment="1" applyBorder="1" applyFont="1">
      <alignment horizontal="right" vertical="center"/>
    </xf>
    <xf borderId="0" fillId="0" fontId="9" numFmtId="0" xfId="0" applyAlignment="1" applyFont="1">
      <alignment horizontal="left"/>
    </xf>
    <xf borderId="0" fillId="2" fontId="7" numFmtId="0" xfId="0" applyAlignment="1" applyFont="1">
      <alignment horizontal="right" vertical="center"/>
    </xf>
    <xf borderId="2" fillId="0" fontId="2" numFmtId="0" xfId="0" applyAlignment="1" applyBorder="1" applyFont="1">
      <alignment horizontal="right" readingOrder="0" vertical="bottom"/>
    </xf>
    <xf borderId="0" fillId="0" fontId="1" numFmtId="49" xfId="0" applyAlignment="1" applyFont="1" applyNumberFormat="1">
      <alignment readingOrder="0" vertical="top"/>
    </xf>
    <xf borderId="2" fillId="0" fontId="10" numFmtId="0" xfId="0" applyAlignment="1" applyBorder="1" applyFont="1">
      <alignment horizontal="left" readingOrder="0" vertical="bottom"/>
    </xf>
    <xf borderId="0" fillId="0" fontId="11" numFmtId="0" xfId="0" applyAlignment="1" applyFont="1">
      <alignment readingOrder="0" shrinkToFit="0" vertical="center" wrapText="1"/>
    </xf>
    <xf borderId="2" fillId="0" fontId="12" numFmtId="165" xfId="0" applyAlignment="1" applyBorder="1" applyFont="1" applyNumberFormat="1">
      <alignment horizontal="right" readingOrder="0" vertical="bottom"/>
    </xf>
    <xf borderId="0" fillId="0" fontId="13" numFmtId="0" xfId="0" applyFont="1"/>
    <xf borderId="0" fillId="0" fontId="1" numFmtId="49" xfId="0" applyAlignment="1" applyFont="1" applyNumberFormat="1">
      <alignment horizontal="left" vertical="top"/>
    </xf>
    <xf borderId="3" fillId="0" fontId="3" numFmtId="0" xfId="0" applyAlignment="1" applyBorder="1" applyFont="1">
      <alignment horizontal="left"/>
    </xf>
    <xf borderId="3" fillId="0" fontId="3" numFmtId="0" xfId="0" applyAlignment="1" applyBorder="1" applyFont="1">
      <alignment horizontal="center"/>
    </xf>
    <xf borderId="2" fillId="0" fontId="14" numFmtId="164" xfId="0" applyAlignment="1" applyBorder="1" applyFont="1" applyNumberFormat="1">
      <alignment horizontal="right" readingOrder="0" vertical="bottom"/>
    </xf>
    <xf borderId="0" fillId="0" fontId="3" numFmtId="0" xfId="0" applyAlignment="1" applyFont="1">
      <alignment horizontal="left"/>
    </xf>
    <xf borderId="2" fillId="0" fontId="14" numFmtId="0" xfId="0" applyAlignment="1" applyBorder="1" applyFont="1">
      <alignment horizontal="right" readingOrder="0" vertical="bottom"/>
    </xf>
    <xf borderId="0" fillId="0" fontId="3" numFmtId="0" xfId="0" applyAlignment="1" applyFont="1">
      <alignment horizontal="center"/>
    </xf>
    <xf borderId="0" fillId="0" fontId="15" numFmtId="49" xfId="0" applyAlignment="1" applyFont="1" applyNumberFormat="1">
      <alignment horizontal="left" readingOrder="0" vertical="top"/>
    </xf>
    <xf borderId="0" fillId="0" fontId="16" numFmtId="0" xfId="0" applyAlignment="1" applyFont="1">
      <alignment horizontal="left" readingOrder="0" vertical="center"/>
    </xf>
    <xf borderId="4" fillId="0" fontId="17" numFmtId="0" xfId="0" applyAlignment="1" applyBorder="1" applyFont="1">
      <alignment horizontal="right" readingOrder="0" vertical="center"/>
    </xf>
    <xf borderId="0" fillId="0" fontId="3" numFmtId="0" xfId="0" applyFont="1"/>
    <xf borderId="5" fillId="0" fontId="17" numFmtId="0" xfId="0" applyAlignment="1" applyBorder="1" applyFont="1">
      <alignment horizontal="right" readingOrder="0" vertical="center"/>
    </xf>
    <xf borderId="0" fillId="0" fontId="1" numFmtId="49" xfId="0" applyAlignment="1" applyFont="1" applyNumberFormat="1">
      <alignment horizontal="right" readingOrder="0" vertical="top"/>
    </xf>
    <xf borderId="0" fillId="3" fontId="18" numFmtId="0" xfId="0" applyAlignment="1" applyFill="1" applyFont="1">
      <alignment horizontal="left" readingOrder="0" vertical="center"/>
    </xf>
    <xf borderId="0" fillId="4" fontId="4" numFmtId="0" xfId="0" applyAlignment="1" applyFill="1" applyFont="1">
      <alignment horizontal="left" readingOrder="0" shrinkToFit="0" vertical="top" wrapText="1"/>
    </xf>
    <xf borderId="0" fillId="0" fontId="3" numFmtId="0" xfId="0" applyAlignment="1" applyFont="1">
      <alignment horizontal="left" vertical="center"/>
    </xf>
    <xf borderId="6" fillId="0" fontId="2" numFmtId="0" xfId="0" applyAlignment="1" applyBorder="1" applyFont="1">
      <alignment horizontal="right" readingOrder="0" vertical="center"/>
    </xf>
    <xf borderId="7" fillId="0" fontId="2" numFmtId="0" xfId="0" applyAlignment="1" applyBorder="1" applyFont="1">
      <alignment horizontal="right" readingOrder="0" vertical="center"/>
    </xf>
    <xf borderId="0" fillId="0" fontId="5" numFmtId="0" xfId="0" applyAlignment="1" applyFont="1">
      <alignment horizontal="left" readingOrder="0" vertical="center"/>
    </xf>
    <xf borderId="0" fillId="0" fontId="19" numFmtId="164" xfId="0" applyAlignment="1" applyFont="1" applyNumberFormat="1">
      <alignment horizontal="right" readingOrder="0" vertical="center"/>
    </xf>
    <xf borderId="0" fillId="0" fontId="1" numFmtId="0" xfId="0" applyAlignment="1" applyFont="1">
      <alignment readingOrder="0" vertical="center"/>
    </xf>
    <xf borderId="0" fillId="0" fontId="1" numFmtId="166" xfId="0" applyAlignment="1" applyFont="1" applyNumberFormat="1">
      <alignment horizontal="left" readingOrder="0" vertical="center"/>
    </xf>
    <xf borderId="0" fillId="0" fontId="20" numFmtId="164" xfId="0" applyAlignment="1" applyFont="1" applyNumberFormat="1">
      <alignment horizontal="right" vertical="center"/>
    </xf>
    <xf borderId="0" fillId="0" fontId="13" numFmtId="164" xfId="0" applyAlignment="1" applyFont="1" applyNumberFormat="1">
      <alignment horizontal="center" readingOrder="0" vertical="center"/>
    </xf>
    <xf borderId="8" fillId="0" fontId="21" numFmtId="164" xfId="0" applyAlignment="1" applyBorder="1" applyFont="1" applyNumberFormat="1">
      <alignment horizontal="right" vertical="center"/>
    </xf>
    <xf borderId="0" fillId="0" fontId="13" numFmtId="1" xfId="0" applyAlignment="1" applyFont="1" applyNumberFormat="1">
      <alignment horizontal="center" readingOrder="0" vertical="center"/>
    </xf>
    <xf borderId="0" fillId="0" fontId="13" numFmtId="0" xfId="0" applyAlignment="1" applyFont="1">
      <alignment vertical="center"/>
    </xf>
    <xf borderId="0" fillId="0" fontId="13" numFmtId="0" xfId="0" applyAlignment="1" applyFont="1">
      <alignment horizontal="center"/>
    </xf>
    <xf borderId="0" fillId="3" fontId="22" numFmtId="167" xfId="0" applyAlignment="1" applyFont="1" applyNumberFormat="1">
      <alignment horizontal="right" readingOrder="0" vertical="center"/>
    </xf>
    <xf borderId="0" fillId="3" fontId="22" numFmtId="168" xfId="0" applyAlignment="1" applyFont="1" applyNumberFormat="1">
      <alignment horizontal="right" readingOrder="0" vertical="center"/>
    </xf>
    <xf borderId="0" fillId="3" fontId="23" numFmtId="168" xfId="0" applyAlignment="1" applyFont="1" applyNumberFormat="1">
      <alignment horizontal="right" readingOrder="0" vertical="center"/>
    </xf>
    <xf borderId="0" fillId="3" fontId="23" numFmtId="167" xfId="0" applyAlignment="1" applyFont="1" applyNumberFormat="1">
      <alignment horizontal="right" readingOrder="0" vertical="center"/>
    </xf>
    <xf borderId="9" fillId="0" fontId="24" numFmtId="164" xfId="0" applyAlignment="1" applyBorder="1" applyFont="1" applyNumberFormat="1">
      <alignment horizontal="right" readingOrder="0" vertical="center"/>
    </xf>
    <xf borderId="0" fillId="0" fontId="19" numFmtId="167" xfId="0" applyAlignment="1" applyFont="1" applyNumberFormat="1">
      <alignment horizontal="right" readingOrder="0" vertical="center"/>
    </xf>
    <xf borderId="10" fillId="0" fontId="2" numFmtId="0" xfId="0" applyAlignment="1" applyBorder="1" applyFont="1">
      <alignment horizontal="right" readingOrder="0" vertical="center"/>
    </xf>
    <xf borderId="11" fillId="0" fontId="2" numFmtId="0" xfId="0" applyAlignment="1" applyBorder="1" applyFont="1">
      <alignment horizontal="right" readingOrder="0" vertical="center"/>
    </xf>
    <xf borderId="0" fillId="0" fontId="19" numFmtId="168" xfId="0" applyAlignment="1" applyFont="1" applyNumberFormat="1">
      <alignment horizontal="right" readingOrder="0" vertical="center"/>
    </xf>
    <xf borderId="0" fillId="0" fontId="25" numFmtId="168" xfId="0" applyAlignment="1" applyFont="1" applyNumberFormat="1">
      <alignment horizontal="right" vertical="center"/>
    </xf>
    <xf borderId="0" fillId="0" fontId="25" numFmtId="167" xfId="0" applyAlignment="1" applyFont="1" applyNumberFormat="1">
      <alignment horizontal="right" vertical="center"/>
    </xf>
    <xf borderId="0" fillId="0" fontId="5" numFmtId="0" xfId="0" applyAlignment="1" applyFont="1">
      <alignment horizontal="left" vertical="center"/>
    </xf>
    <xf borderId="0" fillId="0" fontId="20" numFmtId="168" xfId="0" applyAlignment="1" applyFont="1" applyNumberFormat="1">
      <alignment horizontal="right" readingOrder="0" vertical="center"/>
    </xf>
    <xf borderId="0" fillId="0" fontId="20" numFmtId="168" xfId="0" applyAlignment="1" applyFont="1" applyNumberFormat="1">
      <alignment horizontal="right" vertical="center"/>
    </xf>
    <xf borderId="0" fillId="0" fontId="20" numFmtId="167" xfId="0" applyAlignment="1" applyFont="1" applyNumberFormat="1">
      <alignment horizontal="right" vertical="center"/>
    </xf>
    <xf borderId="0" fillId="0" fontId="19" numFmtId="168" xfId="0" applyAlignment="1" applyFont="1" applyNumberFormat="1">
      <alignment horizontal="right" vertical="center"/>
    </xf>
    <xf borderId="6" fillId="0" fontId="2" numFmtId="0" xfId="0" applyAlignment="1" applyBorder="1" applyFont="1">
      <alignment horizontal="right" vertical="center"/>
    </xf>
    <xf borderId="7" fillId="0" fontId="2" numFmtId="0" xfId="0" applyAlignment="1" applyBorder="1" applyFont="1">
      <alignment horizontal="right" vertical="center"/>
    </xf>
    <xf borderId="0" fillId="0" fontId="4" numFmtId="0" xfId="0" applyAlignment="1" applyFont="1">
      <alignment horizontal="left" vertical="center"/>
    </xf>
    <xf borderId="0" fillId="0" fontId="25" numFmtId="164" xfId="0" applyAlignment="1" applyFont="1" applyNumberFormat="1">
      <alignment horizontal="right" vertical="center"/>
    </xf>
    <xf borderId="0" fillId="0" fontId="19" numFmtId="164" xfId="0" applyAlignment="1" applyFont="1" applyNumberFormat="1">
      <alignment horizontal="right" vertical="center"/>
    </xf>
    <xf borderId="6" fillId="0" fontId="2" numFmtId="0" xfId="0" applyAlignment="1" applyBorder="1" applyFont="1">
      <alignment horizontal="right" vertical="center"/>
    </xf>
    <xf borderId="7" fillId="0" fontId="2" numFmtId="0" xfId="0" applyAlignment="1" applyBorder="1" applyFont="1">
      <alignment horizontal="right" vertical="center"/>
    </xf>
    <xf borderId="0" fillId="0" fontId="19" numFmtId="168" xfId="0" applyAlignment="1" applyFont="1" applyNumberFormat="1">
      <alignment horizontal="right"/>
    </xf>
    <xf borderId="0" fillId="2" fontId="26" numFmtId="0" xfId="0" applyAlignment="1" applyFont="1">
      <alignment vertical="center"/>
    </xf>
    <xf borderId="0" fillId="2" fontId="27" numFmtId="0" xfId="0" applyAlignment="1" applyFont="1">
      <alignment horizontal="right" vertical="center"/>
    </xf>
    <xf borderId="0" fillId="2" fontId="28" numFmtId="0" xfId="0" applyAlignment="1" applyFont="1">
      <alignment vertical="bottom"/>
    </xf>
    <xf borderId="0" fillId="2" fontId="3" numFmtId="0" xfId="0" applyAlignment="1" applyFont="1">
      <alignment horizontal="left" vertical="center"/>
    </xf>
    <xf borderId="0" fillId="2" fontId="29" numFmtId="0" xfId="0" applyAlignment="1" applyFont="1">
      <alignment horizontal="left" vertical="center"/>
    </xf>
    <xf borderId="3" fillId="0" fontId="28" numFmtId="0" xfId="0" applyAlignment="1" applyBorder="1" applyFont="1">
      <alignment vertical="bottom"/>
    </xf>
    <xf borderId="3" fillId="0" fontId="27" numFmtId="0" xfId="0" applyAlignment="1" applyBorder="1" applyFont="1">
      <alignment horizontal="right" vertical="center"/>
    </xf>
    <xf borderId="3" fillId="0" fontId="3" numFmtId="0" xfId="0" applyAlignment="1" applyBorder="1" applyFont="1">
      <alignment vertical="center"/>
    </xf>
    <xf borderId="3" fillId="0" fontId="29" numFmtId="0" xfId="0" applyAlignment="1" applyBorder="1" applyFont="1">
      <alignment vertical="center"/>
    </xf>
    <xf borderId="0" fillId="0" fontId="26" numFmtId="0" xfId="0" applyAlignment="1" applyFont="1">
      <alignment vertical="center"/>
    </xf>
    <xf borderId="0" fillId="0" fontId="27" numFmtId="0" xfId="0" applyAlignment="1" applyFont="1">
      <alignment horizontal="right" vertical="center"/>
    </xf>
    <xf borderId="0" fillId="0" fontId="3" numFmtId="0" xfId="0" applyAlignment="1" applyFont="1">
      <alignment horizontal="center" readingOrder="0" vertical="center"/>
    </xf>
    <xf borderId="0" fillId="0" fontId="29" numFmtId="0" xfId="0" applyAlignment="1" applyFont="1">
      <alignment horizontal="center" readingOrder="0" vertical="center"/>
    </xf>
    <xf borderId="0" fillId="0" fontId="3" numFmtId="0" xfId="0" applyAlignment="1" applyFont="1">
      <alignment vertical="center"/>
    </xf>
    <xf borderId="0" fillId="0" fontId="3" numFmtId="0" xfId="0" applyAlignment="1" applyFont="1">
      <alignment readingOrder="0" vertical="center"/>
    </xf>
    <xf borderId="0" fillId="0" fontId="29" numFmtId="0" xfId="0" applyAlignment="1" applyFont="1">
      <alignment vertical="center"/>
    </xf>
    <xf borderId="0" fillId="0" fontId="30" numFmtId="0" xfId="0" applyAlignment="1" applyFont="1">
      <alignment horizontal="left" readingOrder="0" vertical="center"/>
    </xf>
    <xf borderId="0" fillId="0" fontId="31" numFmtId="0" xfId="0" applyAlignment="1" applyFont="1">
      <alignment horizontal="left" readingOrder="0" vertical="center"/>
    </xf>
    <xf borderId="0" fillId="0" fontId="32" numFmtId="0" xfId="0" applyAlignment="1" applyFont="1">
      <alignment horizontal="right" vertical="center"/>
    </xf>
    <xf borderId="0" fillId="0" fontId="33" numFmtId="0" xfId="0" applyAlignment="1" applyFont="1">
      <alignment horizontal="right" vertical="center"/>
    </xf>
    <xf borderId="0" fillId="0" fontId="3" numFmtId="0" xfId="0" applyAlignment="1" applyFont="1">
      <alignment horizontal="right" vertical="center"/>
    </xf>
    <xf borderId="0" fillId="0" fontId="34" numFmtId="0" xfId="0" applyAlignment="1" applyFont="1">
      <alignment horizontal="center" vertical="center"/>
    </xf>
    <xf borderId="0" fillId="0" fontId="35" numFmtId="0" xfId="0" applyAlignment="1" applyFont="1">
      <alignment horizontal="right" readingOrder="0" vertical="center"/>
    </xf>
    <xf borderId="12" fillId="0" fontId="36" numFmtId="164" xfId="0" applyAlignment="1" applyBorder="1" applyFont="1" applyNumberFormat="1">
      <alignment vertical="center"/>
    </xf>
    <xf borderId="13" fillId="4" fontId="37" numFmtId="165" xfId="0" applyAlignment="1" applyBorder="1" applyFont="1" applyNumberFormat="1">
      <alignment horizontal="right" readingOrder="0" vertical="center"/>
    </xf>
    <xf borderId="0" fillId="0" fontId="19" numFmtId="168" xfId="0" applyAlignment="1" applyFont="1" applyNumberFormat="1">
      <alignment horizontal="right" vertical="bottom"/>
    </xf>
    <xf borderId="13" fillId="4" fontId="38" numFmtId="169" xfId="0" applyAlignment="1" applyBorder="1" applyFont="1" applyNumberFormat="1">
      <alignment horizontal="right" readingOrder="0" vertical="center"/>
    </xf>
    <xf borderId="0" fillId="0" fontId="12" numFmtId="0" xfId="0" applyAlignment="1" applyFont="1">
      <alignment horizontal="right" vertical="center"/>
    </xf>
    <xf borderId="0" fillId="0" fontId="39" numFmtId="168" xfId="0" applyAlignment="1" applyFont="1" applyNumberFormat="1">
      <alignment readingOrder="0" vertical="center"/>
    </xf>
    <xf borderId="0" fillId="0" fontId="40" numFmtId="168" xfId="0" applyAlignment="1" applyFont="1" applyNumberFormat="1">
      <alignment horizontal="right" readingOrder="0" vertical="center"/>
    </xf>
    <xf borderId="8" fillId="0" fontId="41" numFmtId="168" xfId="0" applyAlignment="1" applyBorder="1" applyFont="1" applyNumberFormat="1">
      <alignment horizontal="right" vertical="center"/>
    </xf>
    <xf borderId="0" fillId="0" fontId="42" numFmtId="164" xfId="0" applyAlignment="1" applyFont="1" applyNumberFormat="1">
      <alignment horizontal="right" vertical="center"/>
    </xf>
    <xf borderId="14" fillId="0" fontId="39" numFmtId="168" xfId="0" applyAlignment="1" applyBorder="1" applyFont="1" applyNumberFormat="1">
      <alignment readingOrder="0" vertical="center"/>
    </xf>
    <xf borderId="14" fillId="0" fontId="40" numFmtId="168" xfId="0" applyAlignment="1" applyBorder="1" applyFont="1" applyNumberFormat="1">
      <alignment horizontal="right" readingOrder="0" vertical="center"/>
    </xf>
    <xf borderId="15" fillId="0" fontId="41" numFmtId="168" xfId="0" applyAlignment="1" applyBorder="1" applyFont="1" applyNumberFormat="1">
      <alignment horizontal="right" vertical="center"/>
    </xf>
    <xf borderId="16" fillId="0" fontId="41" numFmtId="168" xfId="0" applyAlignment="1" applyBorder="1" applyFont="1" applyNumberFormat="1">
      <alignment horizontal="right" vertical="center"/>
    </xf>
    <xf borderId="4" fillId="0" fontId="41" numFmtId="168" xfId="0" applyAlignment="1" applyBorder="1" applyFont="1" applyNumberFormat="1">
      <alignment horizontal="right" vertical="center"/>
    </xf>
    <xf borderId="0" fillId="0" fontId="43" numFmtId="164" xfId="0" applyAlignment="1" applyFont="1" applyNumberFormat="1">
      <alignment horizontal="right" readingOrder="0" vertical="center"/>
    </xf>
    <xf borderId="17" fillId="0" fontId="37" numFmtId="168" xfId="0" applyAlignment="1" applyBorder="1" applyFont="1" applyNumberFormat="1">
      <alignment readingOrder="0" vertical="center"/>
    </xf>
    <xf borderId="17" fillId="0" fontId="44" numFmtId="168" xfId="0" applyAlignment="1" applyBorder="1" applyFont="1" applyNumberFormat="1">
      <alignment horizontal="right" vertical="center"/>
    </xf>
    <xf borderId="0" fillId="0" fontId="45" numFmtId="168" xfId="0" applyAlignment="1" applyFont="1" applyNumberFormat="1">
      <alignment horizontal="right" vertical="center"/>
    </xf>
    <xf borderId="0" fillId="0" fontId="32" numFmtId="168" xfId="0" applyAlignment="1" applyFont="1" applyNumberFormat="1">
      <alignment vertical="center"/>
    </xf>
    <xf borderId="0" fillId="0" fontId="46" numFmtId="168" xfId="0" applyAlignment="1" applyFont="1" applyNumberFormat="1">
      <alignment horizontal="right" vertical="center"/>
    </xf>
    <xf borderId="0" fillId="0" fontId="47" numFmtId="168" xfId="0" applyAlignment="1" applyFont="1" applyNumberFormat="1">
      <alignment horizontal="right" vertical="center"/>
    </xf>
    <xf borderId="0" fillId="0" fontId="42" numFmtId="0" xfId="0" applyAlignment="1" applyFont="1">
      <alignment horizontal="right" vertical="center"/>
    </xf>
    <xf borderId="0" fillId="0" fontId="30" numFmtId="168" xfId="0" applyAlignment="1" applyFont="1" applyNumberFormat="1">
      <alignment horizontal="left" readingOrder="0" vertical="center"/>
    </xf>
    <xf borderId="0" fillId="0" fontId="30" numFmtId="168" xfId="0" applyAlignment="1" applyFont="1" applyNumberFormat="1">
      <alignment horizontal="right" readingOrder="0" vertical="center"/>
    </xf>
    <xf borderId="0" fillId="4" fontId="48" numFmtId="168" xfId="0" applyAlignment="1" applyFont="1" applyNumberFormat="1">
      <alignment horizontal="right" readingOrder="0" vertical="center"/>
    </xf>
    <xf borderId="12" fillId="0" fontId="36" numFmtId="168" xfId="0" applyAlignment="1" applyBorder="1" applyFont="1" applyNumberFormat="1">
      <alignment vertical="center"/>
    </xf>
    <xf borderId="13" fillId="4" fontId="38" numFmtId="168" xfId="0" applyAlignment="1" applyBorder="1" applyFont="1" applyNumberFormat="1">
      <alignment horizontal="right" readingOrder="0" vertical="center"/>
    </xf>
    <xf borderId="8" fillId="0" fontId="27" numFmtId="0" xfId="0" applyAlignment="1" applyBorder="1" applyFont="1">
      <alignment horizontal="right" vertical="center"/>
    </xf>
    <xf borderId="4" fillId="0" fontId="49" numFmtId="168" xfId="0" applyAlignment="1" applyBorder="1" applyFont="1" applyNumberFormat="1">
      <alignment vertical="center"/>
    </xf>
    <xf borderId="8" fillId="0" fontId="50" numFmtId="168" xfId="0" applyAlignment="1" applyBorder="1" applyFont="1" applyNumberFormat="1">
      <alignment horizontal="right" vertical="center"/>
    </xf>
    <xf borderId="8" fillId="0" fontId="42" numFmtId="164" xfId="0" applyAlignment="1" applyBorder="1" applyFont="1" applyNumberFormat="1">
      <alignment horizontal="right" vertical="center"/>
    </xf>
    <xf borderId="8" fillId="0" fontId="27" numFmtId="0" xfId="0" applyAlignment="1" applyBorder="1" applyFont="1">
      <alignment horizontal="right" vertical="center"/>
    </xf>
    <xf borderId="8" fillId="0" fontId="49" numFmtId="168" xfId="0" applyAlignment="1" applyBorder="1" applyFont="1" applyNumberFormat="1">
      <alignment vertical="center"/>
    </xf>
    <xf borderId="8" fillId="0" fontId="49" numFmtId="164" xfId="0" applyAlignment="1" applyBorder="1" applyFont="1" applyNumberFormat="1">
      <alignment vertical="center"/>
    </xf>
    <xf borderId="8" fillId="0" fontId="50" numFmtId="164" xfId="0" applyAlignment="1" applyBorder="1" applyFont="1" applyNumberFormat="1">
      <alignment horizontal="right" vertical="center"/>
    </xf>
    <xf borderId="8" fillId="0" fontId="41" numFmtId="164" xfId="0" applyAlignment="1" applyBorder="1" applyFont="1" applyNumberFormat="1">
      <alignment horizontal="right" vertical="center"/>
    </xf>
    <xf borderId="18" fillId="0" fontId="27" numFmtId="0" xfId="0" applyAlignment="1" applyBorder="1" applyFont="1">
      <alignment horizontal="right" vertical="center"/>
    </xf>
    <xf borderId="0" fillId="0" fontId="51" numFmtId="0" xfId="0" applyAlignment="1" applyFont="1">
      <alignment horizontal="left" readingOrder="0" vertical="center"/>
    </xf>
    <xf borderId="0" fillId="0" fontId="6" numFmtId="0" xfId="0" applyAlignment="1" applyFont="1">
      <alignment horizontal="left" readingOrder="0" vertical="center"/>
    </xf>
    <xf borderId="0" fillId="4" fontId="52" numFmtId="169" xfId="0" applyAlignment="1" applyFont="1" applyNumberFormat="1">
      <alignment horizontal="right" readingOrder="0" vertical="center"/>
    </xf>
    <xf borderId="0" fillId="0" fontId="13" numFmtId="0" xfId="0" applyAlignment="1" applyFont="1">
      <alignment horizontal="right"/>
    </xf>
    <xf borderId="8" fillId="0" fontId="53" numFmtId="164" xfId="0" applyAlignment="1" applyBorder="1" applyFont="1" applyNumberFormat="1">
      <alignment horizontal="right" vertical="center"/>
    </xf>
    <xf borderId="0" fillId="0" fontId="46" numFmtId="168" xfId="0" applyAlignment="1" applyFont="1" applyNumberFormat="1">
      <alignment horizontal="right"/>
    </xf>
    <xf borderId="12" fillId="0" fontId="40" numFmtId="168" xfId="0" applyAlignment="1" applyBorder="1" applyFont="1" applyNumberFormat="1">
      <alignment vertical="center"/>
    </xf>
    <xf borderId="0" fillId="0" fontId="26" numFmtId="0" xfId="0" applyAlignment="1" applyFont="1">
      <alignment vertical="center"/>
    </xf>
    <xf borderId="19" fillId="0" fontId="49" numFmtId="168" xfId="0" applyAlignment="1" applyBorder="1" applyFont="1" applyNumberFormat="1">
      <alignment vertical="center"/>
    </xf>
    <xf borderId="19" fillId="0" fontId="50" numFmtId="168" xfId="0" applyAlignment="1" applyBorder="1" applyFont="1" applyNumberFormat="1">
      <alignment horizontal="right" vertical="center"/>
    </xf>
    <xf borderId="19" fillId="0" fontId="41" numFmtId="168" xfId="0" applyAlignment="1" applyBorder="1" applyFont="1" applyNumberFormat="1">
      <alignment horizontal="right" vertical="center"/>
    </xf>
    <xf borderId="8" fillId="0" fontId="42" numFmtId="0" xfId="0" applyAlignment="1" applyBorder="1" applyFont="1">
      <alignment horizontal="right" vertical="center"/>
    </xf>
    <xf borderId="20" fillId="0" fontId="49" numFmtId="168" xfId="0" applyAlignment="1" applyBorder="1" applyFont="1" applyNumberFormat="1">
      <alignment vertical="center"/>
    </xf>
    <xf borderId="20" fillId="0" fontId="50" numFmtId="168" xfId="0" applyAlignment="1" applyBorder="1" applyFont="1" applyNumberFormat="1">
      <alignment horizontal="right" vertical="center"/>
    </xf>
    <xf borderId="20" fillId="0" fontId="41" numFmtId="168" xfId="0" applyAlignment="1" applyBorder="1" applyFont="1" applyNumberFormat="1">
      <alignment horizontal="right" vertical="center"/>
    </xf>
    <xf borderId="8" fillId="0" fontId="42" numFmtId="0" xfId="0" applyAlignment="1" applyBorder="1" applyFont="1">
      <alignment horizontal="right" vertical="center"/>
    </xf>
    <xf borderId="19" fillId="0" fontId="42" numFmtId="0" xfId="0" applyAlignment="1" applyBorder="1" applyFont="1">
      <alignment horizontal="right" vertical="center"/>
    </xf>
    <xf borderId="21" fillId="0" fontId="27" numFmtId="0" xfId="0" applyAlignment="1" applyBorder="1" applyFont="1">
      <alignment horizontal="right" vertical="center"/>
    </xf>
    <xf borderId="22" fillId="0" fontId="41" numFmtId="168" xfId="0" applyAlignment="1" applyBorder="1" applyFont="1" applyNumberFormat="1">
      <alignment horizontal="right" vertical="center"/>
    </xf>
    <xf borderId="0" fillId="0" fontId="41" numFmtId="168" xfId="0" applyAlignment="1" applyFont="1" applyNumberFormat="1">
      <alignment horizontal="right" vertical="center"/>
    </xf>
    <xf borderId="23" fillId="0" fontId="44" numFmtId="168" xfId="0" applyAlignment="1" applyBorder="1" applyFont="1" applyNumberFormat="1">
      <alignment horizontal="right" vertical="center"/>
    </xf>
    <xf borderId="4" fillId="0" fontId="42" numFmtId="164" xfId="0" applyAlignment="1" applyBorder="1" applyFont="1" applyNumberFormat="1">
      <alignment vertical="center"/>
    </xf>
    <xf borderId="4" fillId="0" fontId="4" numFmtId="164" xfId="0" applyAlignment="1" applyBorder="1" applyFont="1" applyNumberFormat="1">
      <alignment horizontal="right" vertical="center"/>
    </xf>
    <xf borderId="4" fillId="0" fontId="53" numFmtId="164" xfId="0" applyAlignment="1" applyBorder="1" applyFont="1" applyNumberFormat="1">
      <alignment horizontal="right" vertical="center"/>
    </xf>
    <xf borderId="4" fillId="0" fontId="42" numFmtId="0" xfId="0" applyAlignment="1" applyBorder="1" applyFont="1">
      <alignment vertical="center"/>
    </xf>
    <xf borderId="8" fillId="0" fontId="4" numFmtId="164" xfId="0" applyAlignment="1" applyBorder="1" applyFont="1" applyNumberFormat="1">
      <alignment horizontal="right" vertical="center"/>
    </xf>
    <xf borderId="0" fillId="0" fontId="4" numFmtId="164" xfId="0" applyAlignment="1" applyFont="1" applyNumberFormat="1">
      <alignment horizontal="right" vertical="center"/>
    </xf>
    <xf borderId="0" fillId="0" fontId="53" numFmtId="164" xfId="0" applyAlignment="1" applyFont="1" applyNumberFormat="1">
      <alignment horizontal="right" vertical="center"/>
    </xf>
    <xf borderId="0" fillId="0" fontId="42" numFmtId="0" xfId="0" applyAlignment="1" applyFont="1">
      <alignment vertical="center"/>
    </xf>
    <xf borderId="0" fillId="0" fontId="13" numFmtId="164" xfId="0" applyFont="1" applyNumberFormat="1"/>
    <xf borderId="0" fillId="0" fontId="13" numFmtId="164" xfId="0" applyAlignment="1" applyFont="1" applyNumberFormat="1">
      <alignment vertical="center"/>
    </xf>
    <xf borderId="0" fillId="4" fontId="4" numFmtId="164" xfId="0" applyAlignment="1" applyFont="1" applyNumberFormat="1">
      <alignment vertical="center"/>
    </xf>
    <xf borderId="0" fillId="0" fontId="54" numFmtId="164" xfId="0" applyAlignment="1" applyFont="1" applyNumberFormat="1">
      <alignment vertical="center"/>
    </xf>
    <xf borderId="0" fillId="0" fontId="4" numFmtId="0" xfId="0" applyAlignment="1" applyFont="1">
      <alignment horizontal="left" vertical="center"/>
    </xf>
    <xf borderId="0" fillId="0" fontId="55" numFmtId="164" xfId="0" applyAlignment="1" applyFont="1" applyNumberFormat="1">
      <alignment horizontal="right" readingOrder="0" vertical="center"/>
    </xf>
    <xf borderId="0" fillId="0" fontId="21" numFmtId="164" xfId="0" applyAlignment="1" applyFont="1" applyNumberFormat="1">
      <alignment horizontal="right" vertical="center"/>
    </xf>
  </cellXfs>
  <cellStyles count="1">
    <cellStyle xfId="0" name="Normal" builtinId="0"/>
  </cellStyles>
  <dxfs count="1">
    <dxf>
      <font>
        <color rgb="FFF46524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53380000000000004"/>
          <c:y val="0.19128"/>
          <c:w val="0.9089499999999999"/>
          <c:h val="0.6745"/>
        </c:manualLayout>
      </c:layout>
      <c:areaChart>
        <c:ser>
          <c:idx val="2"/>
          <c:order val="2"/>
          <c:tx>
            <c:strRef>
              <c:f>Summary!$C$22</c:f>
            </c:strRef>
          </c:tx>
          <c:spPr>
            <a:solidFill>
              <a:srgbClr val="999999">
                <a:alpha val="5000"/>
              </a:srgbClr>
            </a:solidFill>
            <a:ln cmpd="sng" w="9525">
              <a:solidFill>
                <a:srgbClr val="999999">
                  <a:alpha val="100000"/>
                </a:srgbClr>
              </a:solidFill>
            </a:ln>
          </c:spPr>
          <c:cat>
            <c:strRef>
              <c:f>Summary!$D$18:$O$18</c:f>
            </c:strRef>
          </c:cat>
          <c:val>
            <c:numRef>
              <c:f>Summary!$D$22:$O$22</c:f>
              <c:numCache/>
            </c:numRef>
          </c:val>
        </c:ser>
        <c:axId val="1459508370"/>
        <c:axId val="2096125385"/>
      </c:areaChart>
      <c:lineChart>
        <c:ser>
          <c:idx val="0"/>
          <c:order val="0"/>
          <c:tx>
            <c:strRef>
              <c:f>Summary!$C$19</c:f>
            </c:strRef>
          </c:tx>
          <c:spPr>
            <a:ln cmpd="sng" w="9525">
              <a:solidFill>
                <a:srgbClr val="6AA84F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Summary!$D$18:$O$18</c:f>
            </c:strRef>
          </c:cat>
          <c:val>
            <c:numRef>
              <c:f>Summary!$D$19:$O$19</c:f>
              <c:numCache/>
            </c:numRef>
          </c:val>
          <c:smooth val="0"/>
        </c:ser>
        <c:ser>
          <c:idx val="1"/>
          <c:order val="1"/>
          <c:tx>
            <c:strRef>
              <c:f>Summary!$C$20</c:f>
            </c:strRef>
          </c:tx>
          <c:spPr>
            <a:ln cmpd="sng" w="9525">
              <a:solidFill>
                <a:srgbClr val="DC3912"/>
              </a:solidFill>
            </a:ln>
          </c:spPr>
          <c:marker>
            <c:symbol val="none"/>
          </c:marker>
          <c:cat>
            <c:strRef>
              <c:f>Summary!$D$18:$O$18</c:f>
            </c:strRef>
          </c:cat>
          <c:val>
            <c:numRef>
              <c:f>Summary!$D$20:$O$20</c:f>
              <c:numCache/>
            </c:numRef>
          </c:val>
          <c:smooth val="0"/>
        </c:ser>
        <c:axId val="1459508370"/>
        <c:axId val="2096125385"/>
      </c:lineChart>
      <c:catAx>
        <c:axId val="145950837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1" sz="1200">
                    <a:solidFill>
                      <a:srgbClr val="434343"/>
                    </a:solidFill>
                    <a:latin typeface="Roboto"/>
                  </a:defRPr>
                </a:pPr>
                <a:r>
                  <a:rPr b="0" i="1" sz="1200">
                    <a:solidFill>
                      <a:srgbClr val="434343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sz="1100">
                <a:solidFill>
                  <a:srgbClr val="434343"/>
                </a:solidFill>
                <a:latin typeface="Roboto"/>
              </a:defRPr>
            </a:pPr>
          </a:p>
        </c:txPr>
        <c:crossAx val="2096125385"/>
      </c:catAx>
      <c:valAx>
        <c:axId val="2096125385"/>
        <c:scaling>
          <c:orientation val="minMax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sz="1100">
                <a:solidFill>
                  <a:srgbClr val="222222"/>
                </a:solidFill>
                <a:latin typeface="Roboto"/>
              </a:defRPr>
            </a:pPr>
          </a:p>
        </c:txPr>
        <c:crossAx val="1459508370"/>
      </c:valAx>
    </c:plotArea>
    <c:legend>
      <c:legendPos val="t"/>
      <c:overlay val="0"/>
      <c:txPr>
        <a:bodyPr/>
        <a:lstStyle/>
        <a:p>
          <a:pPr lvl="0">
            <a:defRPr b="0" sz="1100">
              <a:solidFill>
                <a:srgbClr val="434343"/>
              </a:solidFill>
              <a:latin typeface="Roboto"/>
            </a:defRPr>
          </a:pPr>
        </a:p>
      </c:txPr>
    </c:legend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200">
                <a:solidFill>
                  <a:srgbClr val="434343"/>
                </a:solidFill>
                <a:latin typeface="Roboto"/>
              </a:defRPr>
            </a:pPr>
            <a:r>
              <a:rPr b="1" i="0" sz="1200">
                <a:solidFill>
                  <a:srgbClr val="434343"/>
                </a:solidFill>
                <a:latin typeface="Roboto"/>
              </a:rPr>
              <a:t>Average £ spent per category</a:t>
            </a:r>
          </a:p>
        </c:rich>
      </c:tx>
      <c:overlay val="0"/>
    </c:title>
    <c:plotArea>
      <c:layout>
        <c:manualLayout>
          <c:xMode val="edge"/>
          <c:yMode val="edge"/>
          <c:x val="0.04796"/>
          <c:y val="0.16573000000000002"/>
          <c:w val="0.9316"/>
          <c:h val="0.7162900000000001"/>
        </c:manualLayout>
      </c:layout>
      <c:barChart>
        <c:barDir val="col"/>
        <c:ser>
          <c:idx val="0"/>
          <c:order val="0"/>
          <c:spPr>
            <a:solidFill>
              <a:srgbClr val="DD7E6B"/>
            </a:solidFill>
            <a:ln cmpd="sng">
              <a:noFill/>
            </a:ln>
          </c:spPr>
          <c:cat>
            <c:strRef>
              <c:f>Summary!$C$41:$C$55</c:f>
            </c:strRef>
          </c:cat>
          <c:val>
            <c:numRef>
              <c:f>Summary!$Q$41:$Q$55</c:f>
              <c:numCache/>
            </c:numRef>
          </c:val>
        </c:ser>
        <c:axId val="1879245362"/>
        <c:axId val="833334074"/>
      </c:barChart>
      <c:catAx>
        <c:axId val="187924536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sz="1100">
                <a:solidFill>
                  <a:srgbClr val="434343"/>
                </a:solidFill>
                <a:latin typeface="Roboto"/>
              </a:defRPr>
            </a:pPr>
          </a:p>
        </c:txPr>
        <c:crossAx val="833334074"/>
      </c:catAx>
      <c:valAx>
        <c:axId val="833334074"/>
        <c:scaling>
          <c:orientation val="minMax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sz="1100">
                <a:solidFill>
                  <a:srgbClr val="434343"/>
                </a:solidFill>
                <a:latin typeface="Roboto"/>
              </a:defRPr>
            </a:pPr>
          </a:p>
        </c:txPr>
        <c:crossAx val="1879245362"/>
      </c:valAx>
    </c:plotArea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19050</xdr:colOff>
      <xdr:row>2</xdr:row>
      <xdr:rowOff>57150</xdr:rowOff>
    </xdr:from>
    <xdr:ext cx="11934825" cy="287655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</xdr:col>
      <xdr:colOff>19050</xdr:colOff>
      <xdr:row>57</xdr:row>
      <xdr:rowOff>19050</xdr:rowOff>
    </xdr:from>
    <xdr:ext cx="14544675" cy="40671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 outlineLevelCol="1" outlineLevelRow="1"/>
  <cols>
    <col customWidth="1" min="1" max="1" width="14.38"/>
    <col customWidth="1" min="2" max="2" width="2.0"/>
    <col customWidth="1" min="3" max="3" width="16.13"/>
    <col customWidth="1" min="4" max="15" width="7.63" outlineLevel="1"/>
    <col customWidth="1" min="16" max="16" width="11.13"/>
    <col customWidth="1" min="17" max="17" width="8.13"/>
    <col customWidth="1" min="18" max="19" width="8.88"/>
    <col customWidth="1" min="20" max="20" width="1.63"/>
    <col customWidth="1" min="21" max="21" width="30.5"/>
    <col customWidth="1" min="22" max="35" width="8.88"/>
  </cols>
  <sheetData>
    <row r="1" ht="6.0" customHeight="1">
      <c r="A1" s="2"/>
      <c r="B1" s="2"/>
      <c r="C1" s="4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8"/>
      <c r="Q1" s="10"/>
      <c r="R1" s="10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</row>
    <row r="2" ht="38.25" customHeight="1">
      <c r="A2" s="13"/>
      <c r="B2" s="13"/>
      <c r="C2" s="15" t="s">
        <v>4</v>
      </c>
      <c r="D2" s="17">
        <v>42522.0</v>
      </c>
      <c r="E2" s="17">
        <v>42552.0</v>
      </c>
      <c r="F2" s="17">
        <v>42583.0</v>
      </c>
      <c r="G2" s="17">
        <v>42614.0</v>
      </c>
      <c r="H2" s="17">
        <v>42644.0</v>
      </c>
      <c r="I2" s="17">
        <v>42675.0</v>
      </c>
      <c r="J2" s="17">
        <v>42705.0</v>
      </c>
      <c r="K2" s="17">
        <v>42370.0</v>
      </c>
      <c r="L2" s="17">
        <v>42401.0</v>
      </c>
      <c r="M2" s="17">
        <v>42430.0</v>
      </c>
      <c r="N2" s="17">
        <v>42461.0</v>
      </c>
      <c r="O2" s="17">
        <v>42491.0</v>
      </c>
      <c r="P2" s="22" t="s">
        <v>3</v>
      </c>
      <c r="Q2" s="24" t="s">
        <v>5</v>
      </c>
      <c r="S2" s="13"/>
      <c r="T2" s="13"/>
      <c r="U2" s="15" t="s">
        <v>4</v>
      </c>
      <c r="V2" s="17">
        <v>42522.0</v>
      </c>
      <c r="W2" s="17">
        <v>42552.0</v>
      </c>
      <c r="X2" s="17">
        <v>42583.0</v>
      </c>
      <c r="Y2" s="17">
        <v>42614.0</v>
      </c>
      <c r="Z2" s="17">
        <v>42644.0</v>
      </c>
      <c r="AA2" s="17">
        <v>42675.0</v>
      </c>
      <c r="AB2" s="17">
        <v>42705.0</v>
      </c>
      <c r="AC2" s="17">
        <v>42370.0</v>
      </c>
      <c r="AD2" s="17">
        <v>42401.0</v>
      </c>
      <c r="AE2" s="17">
        <v>42430.0</v>
      </c>
      <c r="AF2" s="17">
        <v>42461.0</v>
      </c>
      <c r="AG2" s="17">
        <v>42491.0</v>
      </c>
      <c r="AH2" s="22" t="s">
        <v>3</v>
      </c>
      <c r="AI2" s="24" t="s">
        <v>5</v>
      </c>
    </row>
    <row r="3" ht="19.5" hidden="1" customHeight="1">
      <c r="A3" s="35"/>
      <c r="B3" s="36"/>
      <c r="C3" s="37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41"/>
      <c r="Q3" s="41"/>
      <c r="R3" s="43"/>
      <c r="S3" s="35"/>
      <c r="T3" s="36"/>
      <c r="U3" s="37"/>
      <c r="V3" s="38"/>
      <c r="W3" s="38"/>
      <c r="X3" s="38"/>
      <c r="Y3" s="38"/>
      <c r="Z3" s="38"/>
      <c r="AA3" s="38"/>
      <c r="AB3" s="38"/>
      <c r="AC3" s="38"/>
      <c r="AD3" s="38"/>
      <c r="AE3" s="38"/>
      <c r="AF3" s="38"/>
      <c r="AG3" s="38"/>
      <c r="AH3" s="41"/>
      <c r="AI3" s="41"/>
    </row>
    <row r="4" ht="24.0" customHeight="1">
      <c r="A4" s="28" t="s">
        <v>18</v>
      </c>
      <c r="B4" s="30"/>
      <c r="C4" s="32" t="s">
        <v>9</v>
      </c>
      <c r="D4" s="48">
        <f t="shared" ref="D4:O4" si="1">sum(D5)</f>
        <v>40</v>
      </c>
      <c r="E4" s="48">
        <f t="shared" si="1"/>
        <v>40</v>
      </c>
      <c r="F4" s="48">
        <f t="shared" si="1"/>
        <v>40</v>
      </c>
      <c r="G4" s="48">
        <f t="shared" si="1"/>
        <v>40</v>
      </c>
      <c r="H4" s="48">
        <f t="shared" si="1"/>
        <v>40</v>
      </c>
      <c r="I4" s="48">
        <f t="shared" si="1"/>
        <v>40</v>
      </c>
      <c r="J4" s="48">
        <f t="shared" si="1"/>
        <v>40</v>
      </c>
      <c r="K4" s="48">
        <f t="shared" si="1"/>
        <v>40</v>
      </c>
      <c r="L4" s="48">
        <f t="shared" si="1"/>
        <v>40</v>
      </c>
      <c r="M4" s="48">
        <f t="shared" si="1"/>
        <v>40</v>
      </c>
      <c r="N4" s="48">
        <f t="shared" si="1"/>
        <v>40</v>
      </c>
      <c r="O4" s="48">
        <f t="shared" si="1"/>
        <v>40</v>
      </c>
      <c r="P4" s="49">
        <f t="shared" ref="P4:P5" si="3">sum(D4:O4)</f>
        <v>480</v>
      </c>
      <c r="Q4" s="49">
        <f>iferror(average(D4:O4),"")</f>
        <v>40</v>
      </c>
      <c r="R4" s="51"/>
      <c r="S4" s="28" t="s">
        <v>18</v>
      </c>
      <c r="T4" s="30"/>
      <c r="U4" s="32" t="s">
        <v>9</v>
      </c>
      <c r="V4" s="48">
        <f t="shared" ref="V4:AG4" si="2">sum(V5)</f>
        <v>20</v>
      </c>
      <c r="W4" s="48">
        <f t="shared" si="2"/>
        <v>20</v>
      </c>
      <c r="X4" s="48">
        <f t="shared" si="2"/>
        <v>20</v>
      </c>
      <c r="Y4" s="48">
        <f t="shared" si="2"/>
        <v>20</v>
      </c>
      <c r="Z4" s="48">
        <f t="shared" si="2"/>
        <v>20</v>
      </c>
      <c r="AA4" s="48">
        <f t="shared" si="2"/>
        <v>20</v>
      </c>
      <c r="AB4" s="48">
        <f t="shared" si="2"/>
        <v>20</v>
      </c>
      <c r="AC4" s="48">
        <f t="shared" si="2"/>
        <v>20</v>
      </c>
      <c r="AD4" s="48">
        <f t="shared" si="2"/>
        <v>20</v>
      </c>
      <c r="AE4" s="48">
        <f t="shared" si="2"/>
        <v>20</v>
      </c>
      <c r="AF4" s="48">
        <f t="shared" si="2"/>
        <v>20</v>
      </c>
      <c r="AG4" s="48">
        <f t="shared" si="2"/>
        <v>20</v>
      </c>
      <c r="AH4" s="49">
        <f t="shared" ref="AH4:AH5" si="4">sum(V4:AG4)</f>
        <v>240</v>
      </c>
      <c r="AI4" s="49">
        <f>iferror(average(V4:AG4),"")</f>
        <v>20</v>
      </c>
    </row>
    <row r="5" ht="19.5" customHeight="1" outlineLevel="1">
      <c r="A5" s="53"/>
      <c r="B5" s="54"/>
      <c r="C5" s="37" t="s">
        <v>20</v>
      </c>
      <c r="D5" s="55">
        <v>40.0</v>
      </c>
      <c r="E5" s="55">
        <v>40.0</v>
      </c>
      <c r="F5" s="55">
        <v>40.0</v>
      </c>
      <c r="G5" s="55">
        <v>40.0</v>
      </c>
      <c r="H5" s="55">
        <v>40.0</v>
      </c>
      <c r="I5" s="55">
        <v>40.0</v>
      </c>
      <c r="J5" s="55">
        <v>40.0</v>
      </c>
      <c r="K5" s="55">
        <v>40.0</v>
      </c>
      <c r="L5" s="55">
        <v>40.0</v>
      </c>
      <c r="M5" s="55">
        <v>40.0</v>
      </c>
      <c r="N5" s="55">
        <v>40.0</v>
      </c>
      <c r="O5" s="55">
        <v>40.0</v>
      </c>
      <c r="P5" s="56">
        <f t="shared" si="3"/>
        <v>480</v>
      </c>
      <c r="Q5" s="56">
        <f>iferror(average(D5:O5),0)</f>
        <v>40</v>
      </c>
      <c r="R5" s="43"/>
      <c r="S5" s="53"/>
      <c r="T5" s="54"/>
      <c r="U5" s="37" t="str">
        <f>CONCATENATE($C5," - Contrib")</f>
        <v>Household Card - Contrib</v>
      </c>
      <c r="V5" s="55">
        <f>D5/Setup!$E$13</f>
        <v>20</v>
      </c>
      <c r="W5" s="55">
        <f>E5/Setup!$E$13</f>
        <v>20</v>
      </c>
      <c r="X5" s="55">
        <f>F5/Setup!$E$13</f>
        <v>20</v>
      </c>
      <c r="Y5" s="55">
        <f>G5/Setup!$E$13</f>
        <v>20</v>
      </c>
      <c r="Z5" s="55">
        <f>H5/Setup!$E$13</f>
        <v>20</v>
      </c>
      <c r="AA5" s="55">
        <f>I5/Setup!$E$13</f>
        <v>20</v>
      </c>
      <c r="AB5" s="55">
        <f>J5/Setup!$E$13</f>
        <v>20</v>
      </c>
      <c r="AC5" s="55">
        <f>K5/Setup!$E$13</f>
        <v>20</v>
      </c>
      <c r="AD5" s="55">
        <f>L5/Setup!$E$13</f>
        <v>20</v>
      </c>
      <c r="AE5" s="55">
        <f>M5/Setup!$E$13</f>
        <v>20</v>
      </c>
      <c r="AF5" s="55">
        <f>N5/Setup!$E$13</f>
        <v>20</v>
      </c>
      <c r="AG5" s="55">
        <f>O5/Setup!$E$13</f>
        <v>20</v>
      </c>
      <c r="AH5" s="56">
        <f t="shared" si="4"/>
        <v>240</v>
      </c>
      <c r="AI5" s="56">
        <f>iferror(average(V5:AG5),0)</f>
        <v>20</v>
      </c>
    </row>
    <row r="6" ht="19.5" hidden="1" customHeight="1">
      <c r="A6" s="35"/>
      <c r="B6" s="36"/>
      <c r="C6" s="58"/>
      <c r="D6" s="55"/>
      <c r="E6" s="55"/>
      <c r="F6" s="55"/>
      <c r="G6" s="55"/>
      <c r="H6" s="55"/>
      <c r="I6" s="55"/>
      <c r="J6" s="55"/>
      <c r="K6" s="55"/>
      <c r="L6" s="55"/>
      <c r="M6" s="55"/>
      <c r="N6" s="55"/>
      <c r="O6" s="55"/>
      <c r="P6" s="59"/>
      <c r="Q6" s="60"/>
      <c r="R6" s="43"/>
      <c r="S6" s="35"/>
      <c r="T6" s="36"/>
      <c r="U6" s="58"/>
      <c r="V6" s="55"/>
      <c r="W6" s="55"/>
      <c r="X6" s="55"/>
      <c r="Y6" s="55"/>
      <c r="Z6" s="55"/>
      <c r="AA6" s="55"/>
      <c r="AB6" s="55"/>
      <c r="AC6" s="55"/>
      <c r="AD6" s="55"/>
      <c r="AE6" s="55"/>
      <c r="AF6" s="55"/>
      <c r="AG6" s="55"/>
      <c r="AH6" s="59"/>
      <c r="AI6" s="60"/>
    </row>
    <row r="7" ht="19.5" customHeight="1">
      <c r="A7" s="53"/>
      <c r="B7" s="54"/>
      <c r="C7" s="58"/>
      <c r="D7" s="55"/>
      <c r="E7" s="55"/>
      <c r="F7" s="55"/>
      <c r="G7" s="55"/>
      <c r="H7" s="55"/>
      <c r="I7" s="55"/>
      <c r="J7" s="62"/>
      <c r="K7" s="62"/>
      <c r="L7" s="55"/>
      <c r="M7" s="55"/>
      <c r="N7" s="55"/>
      <c r="O7" s="55"/>
      <c r="P7" s="56"/>
      <c r="Q7" s="56"/>
      <c r="R7" s="43"/>
      <c r="S7" s="53"/>
      <c r="T7" s="54"/>
      <c r="U7" s="58"/>
      <c r="V7" s="55"/>
      <c r="W7" s="55"/>
      <c r="X7" s="55"/>
      <c r="Y7" s="55"/>
      <c r="Z7" s="55"/>
      <c r="AA7" s="55"/>
      <c r="AB7" s="62"/>
      <c r="AC7" s="62"/>
      <c r="AD7" s="55"/>
      <c r="AE7" s="55"/>
      <c r="AF7" s="55"/>
      <c r="AG7" s="55"/>
      <c r="AH7" s="56"/>
      <c r="AI7" s="56"/>
    </row>
    <row r="8" ht="19.5" hidden="1" customHeight="1">
      <c r="A8" s="63"/>
      <c r="B8" s="64"/>
      <c r="C8" s="65"/>
      <c r="D8" s="55"/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60"/>
      <c r="Q8" s="60"/>
      <c r="R8" s="43"/>
      <c r="S8" s="63"/>
      <c r="T8" s="64"/>
      <c r="U8" s="65"/>
      <c r="V8" s="55"/>
      <c r="W8" s="55"/>
      <c r="X8" s="55"/>
      <c r="Y8" s="55"/>
      <c r="Z8" s="55"/>
      <c r="AA8" s="55"/>
      <c r="AB8" s="55"/>
      <c r="AC8" s="55"/>
      <c r="AD8" s="55"/>
      <c r="AE8" s="55"/>
      <c r="AF8" s="55"/>
      <c r="AG8" s="55"/>
      <c r="AH8" s="60"/>
      <c r="AI8" s="60"/>
    </row>
    <row r="9" ht="24.0" customHeight="1">
      <c r="A9" s="28" t="s">
        <v>24</v>
      </c>
      <c r="B9" s="30"/>
      <c r="C9" s="32" t="s">
        <v>9</v>
      </c>
      <c r="D9" s="48">
        <f t="shared" ref="D9:O9" si="5">sum(D10:D14)</f>
        <v>335</v>
      </c>
      <c r="E9" s="48">
        <f t="shared" si="5"/>
        <v>335</v>
      </c>
      <c r="F9" s="48">
        <f t="shared" si="5"/>
        <v>335</v>
      </c>
      <c r="G9" s="48">
        <f t="shared" si="5"/>
        <v>335</v>
      </c>
      <c r="H9" s="48">
        <f t="shared" si="5"/>
        <v>335</v>
      </c>
      <c r="I9" s="48">
        <f t="shared" si="5"/>
        <v>335</v>
      </c>
      <c r="J9" s="48">
        <f t="shared" si="5"/>
        <v>335</v>
      </c>
      <c r="K9" s="48">
        <f t="shared" si="5"/>
        <v>335</v>
      </c>
      <c r="L9" s="48">
        <f t="shared" si="5"/>
        <v>335</v>
      </c>
      <c r="M9" s="48">
        <f t="shared" si="5"/>
        <v>335</v>
      </c>
      <c r="N9" s="48">
        <f t="shared" si="5"/>
        <v>335</v>
      </c>
      <c r="O9" s="48">
        <f t="shared" si="5"/>
        <v>335</v>
      </c>
      <c r="P9" s="49">
        <f t="shared" ref="P9:P13" si="7">sum(D9:O9)</f>
        <v>4020</v>
      </c>
      <c r="Q9" s="49">
        <f>iferror(average(D9:O9),"")</f>
        <v>335</v>
      </c>
      <c r="R9" s="51"/>
      <c r="S9" s="28" t="s">
        <v>24</v>
      </c>
      <c r="T9" s="30"/>
      <c r="U9" s="32" t="s">
        <v>9</v>
      </c>
      <c r="V9" s="48">
        <f t="shared" ref="V9:AG9" si="6">sum(V10:V14)</f>
        <v>167.5</v>
      </c>
      <c r="W9" s="48">
        <f t="shared" si="6"/>
        <v>167.5</v>
      </c>
      <c r="X9" s="48">
        <f t="shared" si="6"/>
        <v>167.5</v>
      </c>
      <c r="Y9" s="48">
        <f t="shared" si="6"/>
        <v>167.5</v>
      </c>
      <c r="Z9" s="48">
        <f t="shared" si="6"/>
        <v>167.5</v>
      </c>
      <c r="AA9" s="48">
        <f t="shared" si="6"/>
        <v>167.5</v>
      </c>
      <c r="AB9" s="48">
        <f t="shared" si="6"/>
        <v>167.5</v>
      </c>
      <c r="AC9" s="48">
        <f t="shared" si="6"/>
        <v>167.5</v>
      </c>
      <c r="AD9" s="48">
        <f t="shared" si="6"/>
        <v>167.5</v>
      </c>
      <c r="AE9" s="48">
        <f t="shared" si="6"/>
        <v>167.5</v>
      </c>
      <c r="AF9" s="48">
        <f t="shared" si="6"/>
        <v>167.5</v>
      </c>
      <c r="AG9" s="48">
        <f t="shared" si="6"/>
        <v>167.5</v>
      </c>
      <c r="AH9" s="49">
        <f t="shared" ref="AH9:AH13" si="8">sum(V9:AG9)</f>
        <v>2010</v>
      </c>
      <c r="AI9" s="49">
        <f>iferror(average(V9:AG9),"")</f>
        <v>167.5</v>
      </c>
    </row>
    <row r="10" ht="19.5" customHeight="1" outlineLevel="1">
      <c r="A10" s="53"/>
      <c r="B10" s="54"/>
      <c r="C10" s="58" t="s">
        <v>26</v>
      </c>
      <c r="D10" s="55">
        <v>300.0</v>
      </c>
      <c r="E10" s="55">
        <v>300.0</v>
      </c>
      <c r="F10" s="55">
        <v>300.0</v>
      </c>
      <c r="G10" s="55">
        <v>300.0</v>
      </c>
      <c r="H10" s="55">
        <v>300.0</v>
      </c>
      <c r="I10" s="55">
        <v>300.0</v>
      </c>
      <c r="J10" s="55">
        <v>300.0</v>
      </c>
      <c r="K10" s="55">
        <v>300.0</v>
      </c>
      <c r="L10" s="55">
        <v>300.0</v>
      </c>
      <c r="M10" s="55">
        <v>300.0</v>
      </c>
      <c r="N10" s="55">
        <v>300.0</v>
      </c>
      <c r="O10" s="55">
        <v>300.0</v>
      </c>
      <c r="P10" s="56">
        <f t="shared" si="7"/>
        <v>3600</v>
      </c>
      <c r="Q10" s="56">
        <f t="shared" ref="Q10:Q13" si="9">iferror(average(D10:O10),0)</f>
        <v>300</v>
      </c>
      <c r="R10" s="43"/>
      <c r="S10" s="53"/>
      <c r="T10" s="54"/>
      <c r="U10" s="37" t="str">
        <f t="shared" ref="U10:U13" si="10">CONCATENATE(C10," - Contibution")</f>
        <v>Groceries - Contibution</v>
      </c>
      <c r="V10" s="55">
        <f>D10/Setup!$E$13</f>
        <v>150</v>
      </c>
      <c r="W10" s="55">
        <f>E10/Setup!$E$13</f>
        <v>150</v>
      </c>
      <c r="X10" s="55">
        <f>F10/Setup!$E$13</f>
        <v>150</v>
      </c>
      <c r="Y10" s="55">
        <f>G10/Setup!$E$13</f>
        <v>150</v>
      </c>
      <c r="Z10" s="55">
        <f>H10/Setup!$E$13</f>
        <v>150</v>
      </c>
      <c r="AA10" s="55">
        <f>I10/Setup!$E$13</f>
        <v>150</v>
      </c>
      <c r="AB10" s="55">
        <f>J10/Setup!$E$13</f>
        <v>150</v>
      </c>
      <c r="AC10" s="55">
        <f>K10/Setup!$E$13</f>
        <v>150</v>
      </c>
      <c r="AD10" s="55">
        <f>L10/Setup!$E$13</f>
        <v>150</v>
      </c>
      <c r="AE10" s="55">
        <f>M10/Setup!$E$13</f>
        <v>150</v>
      </c>
      <c r="AF10" s="55">
        <f>N10/Setup!$E$13</f>
        <v>150</v>
      </c>
      <c r="AG10" s="55">
        <f>O10/Setup!$E$13</f>
        <v>150</v>
      </c>
      <c r="AH10" s="56">
        <f t="shared" si="8"/>
        <v>1800</v>
      </c>
      <c r="AI10" s="56">
        <f t="shared" ref="AI10:AI13" si="11">iferror(average(V10:AG10),0)</f>
        <v>150</v>
      </c>
    </row>
    <row r="11" ht="19.5" customHeight="1" outlineLevel="1">
      <c r="A11" s="53"/>
      <c r="B11" s="54"/>
      <c r="C11" s="58" t="s">
        <v>27</v>
      </c>
      <c r="D11" s="55">
        <v>15.0</v>
      </c>
      <c r="E11" s="55">
        <v>15.0</v>
      </c>
      <c r="F11" s="55">
        <v>15.0</v>
      </c>
      <c r="G11" s="55">
        <v>15.0</v>
      </c>
      <c r="H11" s="55">
        <v>15.0</v>
      </c>
      <c r="I11" s="55">
        <v>15.0</v>
      </c>
      <c r="J11" s="55">
        <v>15.0</v>
      </c>
      <c r="K11" s="55">
        <v>15.0</v>
      </c>
      <c r="L11" s="55">
        <v>15.0</v>
      </c>
      <c r="M11" s="55">
        <v>15.0</v>
      </c>
      <c r="N11" s="55">
        <v>15.0</v>
      </c>
      <c r="O11" s="55">
        <v>15.0</v>
      </c>
      <c r="P11" s="56">
        <f t="shared" si="7"/>
        <v>180</v>
      </c>
      <c r="Q11" s="56">
        <f t="shared" si="9"/>
        <v>15</v>
      </c>
      <c r="R11" s="43"/>
      <c r="S11" s="53"/>
      <c r="T11" s="54"/>
      <c r="U11" s="37" t="str">
        <f t="shared" si="10"/>
        <v>Laundry/dry cleaning - Contibution</v>
      </c>
      <c r="V11" s="55">
        <f>D11/Setup!$E$13</f>
        <v>7.5</v>
      </c>
      <c r="W11" s="55">
        <f>E11/Setup!$E$13</f>
        <v>7.5</v>
      </c>
      <c r="X11" s="55">
        <f>F11/Setup!$E$13</f>
        <v>7.5</v>
      </c>
      <c r="Y11" s="55">
        <f>G11/Setup!$E$13</f>
        <v>7.5</v>
      </c>
      <c r="Z11" s="55">
        <f>H11/Setup!$E$13</f>
        <v>7.5</v>
      </c>
      <c r="AA11" s="55">
        <f>I11/Setup!$E$13</f>
        <v>7.5</v>
      </c>
      <c r="AB11" s="55">
        <f>J11/Setup!$E$13</f>
        <v>7.5</v>
      </c>
      <c r="AC11" s="55">
        <f>K11/Setup!$E$13</f>
        <v>7.5</v>
      </c>
      <c r="AD11" s="55">
        <f>L11/Setup!$E$13</f>
        <v>7.5</v>
      </c>
      <c r="AE11" s="55">
        <f>M11/Setup!$E$13</f>
        <v>7.5</v>
      </c>
      <c r="AF11" s="55">
        <f>N11/Setup!$E$13</f>
        <v>7.5</v>
      </c>
      <c r="AG11" s="55">
        <f>O11/Setup!$E$13</f>
        <v>7.5</v>
      </c>
      <c r="AH11" s="56">
        <f t="shared" si="8"/>
        <v>90</v>
      </c>
      <c r="AI11" s="56">
        <f t="shared" si="11"/>
        <v>7.5</v>
      </c>
    </row>
    <row r="12" ht="19.5" customHeight="1" outlineLevel="1">
      <c r="A12" s="53"/>
      <c r="B12" s="54"/>
      <c r="C12" s="37" t="s">
        <v>28</v>
      </c>
      <c r="D12" s="55">
        <v>10.0</v>
      </c>
      <c r="E12" s="55">
        <v>10.0</v>
      </c>
      <c r="F12" s="55">
        <v>10.0</v>
      </c>
      <c r="G12" s="55">
        <v>10.0</v>
      </c>
      <c r="H12" s="55">
        <v>10.0</v>
      </c>
      <c r="I12" s="55">
        <v>10.0</v>
      </c>
      <c r="J12" s="55">
        <v>10.0</v>
      </c>
      <c r="K12" s="55">
        <v>10.0</v>
      </c>
      <c r="L12" s="55">
        <v>10.0</v>
      </c>
      <c r="M12" s="55">
        <v>10.0</v>
      </c>
      <c r="N12" s="55">
        <v>10.0</v>
      </c>
      <c r="O12" s="55">
        <v>10.0</v>
      </c>
      <c r="P12" s="56">
        <f t="shared" si="7"/>
        <v>120</v>
      </c>
      <c r="Q12" s="56">
        <f t="shared" si="9"/>
        <v>10</v>
      </c>
      <c r="R12" s="43"/>
      <c r="S12" s="53"/>
      <c r="T12" s="54"/>
      <c r="U12" s="37" t="str">
        <f t="shared" si="10"/>
        <v>Cleaning  - Contibution</v>
      </c>
      <c r="V12" s="55">
        <f>D12/Setup!$E$13</f>
        <v>5</v>
      </c>
      <c r="W12" s="55">
        <f>E12/Setup!$E$13</f>
        <v>5</v>
      </c>
      <c r="X12" s="55">
        <f>F12/Setup!$E$13</f>
        <v>5</v>
      </c>
      <c r="Y12" s="55">
        <f>G12/Setup!$E$13</f>
        <v>5</v>
      </c>
      <c r="Z12" s="55">
        <f>H12/Setup!$E$13</f>
        <v>5</v>
      </c>
      <c r="AA12" s="55">
        <f>I12/Setup!$E$13</f>
        <v>5</v>
      </c>
      <c r="AB12" s="55">
        <f>J12/Setup!$E$13</f>
        <v>5</v>
      </c>
      <c r="AC12" s="55">
        <f>K12/Setup!$E$13</f>
        <v>5</v>
      </c>
      <c r="AD12" s="55">
        <f>L12/Setup!$E$13</f>
        <v>5</v>
      </c>
      <c r="AE12" s="55">
        <f>M12/Setup!$E$13</f>
        <v>5</v>
      </c>
      <c r="AF12" s="55">
        <f>N12/Setup!$E$13</f>
        <v>5</v>
      </c>
      <c r="AG12" s="55">
        <f>O12/Setup!$E$13</f>
        <v>5</v>
      </c>
      <c r="AH12" s="56">
        <f t="shared" si="8"/>
        <v>60</v>
      </c>
      <c r="AI12" s="56">
        <f t="shared" si="11"/>
        <v>5</v>
      </c>
    </row>
    <row r="13" ht="19.5" customHeight="1" outlineLevel="1">
      <c r="A13" s="53"/>
      <c r="B13" s="54"/>
      <c r="C13" s="58" t="s">
        <v>29</v>
      </c>
      <c r="D13" s="55">
        <v>10.0</v>
      </c>
      <c r="E13" s="55">
        <v>10.0</v>
      </c>
      <c r="F13" s="55">
        <v>10.0</v>
      </c>
      <c r="G13" s="55">
        <v>10.0</v>
      </c>
      <c r="H13" s="55">
        <v>10.0</v>
      </c>
      <c r="I13" s="55">
        <v>10.0</v>
      </c>
      <c r="J13" s="55">
        <v>10.0</v>
      </c>
      <c r="K13" s="55">
        <v>10.0</v>
      </c>
      <c r="L13" s="55">
        <v>10.0</v>
      </c>
      <c r="M13" s="55">
        <v>10.0</v>
      </c>
      <c r="N13" s="55">
        <v>10.0</v>
      </c>
      <c r="O13" s="55">
        <v>10.0</v>
      </c>
      <c r="P13" s="56">
        <f t="shared" si="7"/>
        <v>120</v>
      </c>
      <c r="Q13" s="56">
        <f t="shared" si="9"/>
        <v>10</v>
      </c>
      <c r="R13" s="43"/>
      <c r="S13" s="53"/>
      <c r="T13" s="54"/>
      <c r="U13" s="37" t="str">
        <f t="shared" si="10"/>
        <v>Subscriptions - Contibution</v>
      </c>
      <c r="V13" s="55">
        <f>D13/Setup!$E$13</f>
        <v>5</v>
      </c>
      <c r="W13" s="55">
        <f>E13/Setup!$E$13</f>
        <v>5</v>
      </c>
      <c r="X13" s="55">
        <f>F13/Setup!$E$13</f>
        <v>5</v>
      </c>
      <c r="Y13" s="55">
        <f>G13/Setup!$E$13</f>
        <v>5</v>
      </c>
      <c r="Z13" s="55">
        <f>H13/Setup!$E$13</f>
        <v>5</v>
      </c>
      <c r="AA13" s="55">
        <f>I13/Setup!$E$13</f>
        <v>5</v>
      </c>
      <c r="AB13" s="55">
        <f>J13/Setup!$E$13</f>
        <v>5</v>
      </c>
      <c r="AC13" s="55">
        <f>K13/Setup!$E$13</f>
        <v>5</v>
      </c>
      <c r="AD13" s="55">
        <f>L13/Setup!$E$13</f>
        <v>5</v>
      </c>
      <c r="AE13" s="55">
        <f>M13/Setup!$E$13</f>
        <v>5</v>
      </c>
      <c r="AF13" s="55">
        <f>N13/Setup!$E$13</f>
        <v>5</v>
      </c>
      <c r="AG13" s="55">
        <f>O13/Setup!$E$13</f>
        <v>5</v>
      </c>
      <c r="AH13" s="56">
        <f t="shared" si="8"/>
        <v>60</v>
      </c>
      <c r="AI13" s="56">
        <f t="shared" si="11"/>
        <v>5</v>
      </c>
    </row>
    <row r="14" ht="19.5" customHeight="1">
      <c r="A14" s="63"/>
      <c r="B14" s="64"/>
      <c r="C14" s="65"/>
      <c r="D14" s="55"/>
      <c r="E14" s="55"/>
      <c r="F14" s="55"/>
      <c r="G14" s="55"/>
      <c r="H14" s="55"/>
      <c r="I14" s="55"/>
      <c r="J14" s="55"/>
      <c r="K14" s="55"/>
      <c r="L14" s="55"/>
      <c r="M14" s="55"/>
      <c r="N14" s="55"/>
      <c r="O14" s="55"/>
      <c r="P14" s="60"/>
      <c r="Q14" s="60"/>
      <c r="R14" s="43"/>
      <c r="S14" s="63"/>
      <c r="T14" s="64"/>
      <c r="U14" s="65"/>
      <c r="V14" s="55"/>
      <c r="W14" s="55"/>
      <c r="X14" s="55"/>
      <c r="Y14" s="55"/>
      <c r="Z14" s="55"/>
      <c r="AA14" s="55"/>
      <c r="AB14" s="55"/>
      <c r="AC14" s="55"/>
      <c r="AD14" s="55"/>
      <c r="AE14" s="55"/>
      <c r="AF14" s="55"/>
      <c r="AG14" s="55"/>
      <c r="AH14" s="60"/>
      <c r="AI14" s="60"/>
    </row>
    <row r="15" ht="19.5" customHeight="1">
      <c r="A15" s="53"/>
      <c r="B15" s="54"/>
      <c r="C15" s="58"/>
      <c r="D15" s="55"/>
      <c r="E15" s="55"/>
      <c r="F15" s="55"/>
      <c r="G15" s="55"/>
      <c r="H15" s="55"/>
      <c r="I15" s="55"/>
      <c r="J15" s="62"/>
      <c r="K15" s="62"/>
      <c r="L15" s="55"/>
      <c r="M15" s="55"/>
      <c r="N15" s="55"/>
      <c r="O15" s="55"/>
      <c r="P15" s="56"/>
      <c r="Q15" s="56"/>
      <c r="R15" s="43"/>
      <c r="S15" s="53"/>
      <c r="T15" s="54"/>
      <c r="U15" s="58"/>
      <c r="V15" s="55"/>
      <c r="W15" s="55"/>
      <c r="X15" s="55"/>
      <c r="Y15" s="55"/>
      <c r="Z15" s="55"/>
      <c r="AA15" s="55"/>
      <c r="AB15" s="62"/>
      <c r="AC15" s="62"/>
      <c r="AD15" s="55"/>
      <c r="AE15" s="55"/>
      <c r="AF15" s="55"/>
      <c r="AG15" s="55"/>
      <c r="AH15" s="56"/>
      <c r="AI15" s="56"/>
    </row>
    <row r="16" ht="19.5" hidden="1" customHeight="1">
      <c r="A16" s="68"/>
      <c r="B16" s="69"/>
      <c r="C16" s="65"/>
      <c r="D16" s="55"/>
      <c r="E16" s="55"/>
      <c r="F16" s="55"/>
      <c r="G16" s="55"/>
      <c r="H16" s="55"/>
      <c r="I16" s="55"/>
      <c r="J16" s="55"/>
      <c r="K16" s="55"/>
      <c r="L16" s="55"/>
      <c r="M16" s="55"/>
      <c r="N16" s="55"/>
      <c r="O16" s="55"/>
      <c r="P16" s="60"/>
      <c r="Q16" s="60"/>
      <c r="R16" s="43"/>
      <c r="S16" s="68"/>
      <c r="T16" s="69"/>
      <c r="U16" s="65"/>
      <c r="V16" s="55"/>
      <c r="W16" s="55"/>
      <c r="X16" s="55"/>
      <c r="Y16" s="55"/>
      <c r="Z16" s="55"/>
      <c r="AA16" s="55"/>
      <c r="AB16" s="55"/>
      <c r="AC16" s="55"/>
      <c r="AD16" s="55"/>
      <c r="AE16" s="55"/>
      <c r="AF16" s="55"/>
      <c r="AG16" s="55"/>
      <c r="AH16" s="60"/>
      <c r="AI16" s="60"/>
    </row>
    <row r="17" ht="24.0" customHeight="1">
      <c r="A17" s="28" t="s">
        <v>30</v>
      </c>
      <c r="B17" s="30"/>
      <c r="C17" s="32" t="s">
        <v>9</v>
      </c>
      <c r="D17" s="48">
        <f t="shared" ref="D17:O17" si="12">sum(D18:D21)</f>
        <v>5</v>
      </c>
      <c r="E17" s="48">
        <f t="shared" si="12"/>
        <v>5</v>
      </c>
      <c r="F17" s="48">
        <f t="shared" si="12"/>
        <v>5</v>
      </c>
      <c r="G17" s="48">
        <f t="shared" si="12"/>
        <v>5</v>
      </c>
      <c r="H17" s="48">
        <f t="shared" si="12"/>
        <v>5</v>
      </c>
      <c r="I17" s="48">
        <f t="shared" si="12"/>
        <v>5</v>
      </c>
      <c r="J17" s="48">
        <f t="shared" si="12"/>
        <v>5</v>
      </c>
      <c r="K17" s="48">
        <f t="shared" si="12"/>
        <v>5</v>
      </c>
      <c r="L17" s="48">
        <f t="shared" si="12"/>
        <v>5</v>
      </c>
      <c r="M17" s="48">
        <f t="shared" si="12"/>
        <v>5</v>
      </c>
      <c r="N17" s="48">
        <f t="shared" si="12"/>
        <v>5</v>
      </c>
      <c r="O17" s="48">
        <f t="shared" si="12"/>
        <v>5</v>
      </c>
      <c r="P17" s="49">
        <f t="shared" ref="P17:P19" si="14">sum(D17:O17)</f>
        <v>60</v>
      </c>
      <c r="Q17" s="49">
        <f>iferror(average(D17:O17),"")</f>
        <v>5</v>
      </c>
      <c r="R17" s="51"/>
      <c r="S17" s="28" t="s">
        <v>30</v>
      </c>
      <c r="T17" s="30"/>
      <c r="U17" s="32" t="s">
        <v>9</v>
      </c>
      <c r="V17" s="48">
        <f t="shared" ref="V17:AG17" si="13">sum(V18:V21)</f>
        <v>2.5</v>
      </c>
      <c r="W17" s="48">
        <f t="shared" si="13"/>
        <v>2.5</v>
      </c>
      <c r="X17" s="48">
        <f t="shared" si="13"/>
        <v>2.5</v>
      </c>
      <c r="Y17" s="48">
        <f t="shared" si="13"/>
        <v>2.5</v>
      </c>
      <c r="Z17" s="48">
        <f t="shared" si="13"/>
        <v>2.5</v>
      </c>
      <c r="AA17" s="48">
        <f t="shared" si="13"/>
        <v>2.5</v>
      </c>
      <c r="AB17" s="48">
        <f t="shared" si="13"/>
        <v>2.5</v>
      </c>
      <c r="AC17" s="48">
        <f t="shared" si="13"/>
        <v>2.5</v>
      </c>
      <c r="AD17" s="48">
        <f t="shared" si="13"/>
        <v>2.5</v>
      </c>
      <c r="AE17" s="48">
        <f t="shared" si="13"/>
        <v>2.5</v>
      </c>
      <c r="AF17" s="48">
        <f t="shared" si="13"/>
        <v>2.5</v>
      </c>
      <c r="AG17" s="48">
        <f t="shared" si="13"/>
        <v>2.5</v>
      </c>
      <c r="AH17" s="49">
        <f t="shared" ref="AH17:AH19" si="15">sum(V17:AG17)</f>
        <v>30</v>
      </c>
      <c r="AI17" s="49">
        <f>iferror(average(V17:AG17),"")</f>
        <v>2.5</v>
      </c>
    </row>
    <row r="18" ht="19.5" customHeight="1" outlineLevel="1">
      <c r="A18" s="53"/>
      <c r="B18" s="54"/>
      <c r="C18" s="58" t="s">
        <v>31</v>
      </c>
      <c r="D18" s="55">
        <v>0.0</v>
      </c>
      <c r="E18" s="55">
        <v>0.0</v>
      </c>
      <c r="F18" s="55">
        <v>0.0</v>
      </c>
      <c r="G18" s="55">
        <v>0.0</v>
      </c>
      <c r="H18" s="55">
        <v>0.0</v>
      </c>
      <c r="I18" s="55">
        <v>0.0</v>
      </c>
      <c r="J18" s="55">
        <v>0.0</v>
      </c>
      <c r="K18" s="55">
        <v>0.0</v>
      </c>
      <c r="L18" s="55">
        <v>0.0</v>
      </c>
      <c r="M18" s="55">
        <v>0.0</v>
      </c>
      <c r="N18" s="55">
        <v>0.0</v>
      </c>
      <c r="O18" s="55">
        <v>0.0</v>
      </c>
      <c r="P18" s="56">
        <f t="shared" si="14"/>
        <v>0</v>
      </c>
      <c r="Q18" s="56">
        <f t="shared" ref="Q18:Q19" si="16">iferror(average(D18:O18),0)</f>
        <v>0</v>
      </c>
      <c r="R18" s="43"/>
      <c r="S18" s="53"/>
      <c r="T18" s="54"/>
      <c r="U18" s="37" t="str">
        <f t="shared" ref="U18:U19" si="17">CONCATENATE(C18," - Contibution")</f>
        <v>Pharmacy - Contibution</v>
      </c>
      <c r="V18" s="70">
        <f>D18/Setup!$E$13</f>
        <v>0</v>
      </c>
      <c r="W18" s="70">
        <f>E18/Setup!$E$13</f>
        <v>0</v>
      </c>
      <c r="X18" s="70">
        <f>F18/Setup!$E$13</f>
        <v>0</v>
      </c>
      <c r="Y18" s="70">
        <f>G18/Setup!$E$13</f>
        <v>0</v>
      </c>
      <c r="Z18" s="70">
        <f>H18/Setup!$E$13</f>
        <v>0</v>
      </c>
      <c r="AA18" s="70">
        <f>I18/Setup!$E$13</f>
        <v>0</v>
      </c>
      <c r="AB18" s="70">
        <f>J18/Setup!$E$13</f>
        <v>0</v>
      </c>
      <c r="AC18" s="70">
        <f>K18/Setup!$E$13</f>
        <v>0</v>
      </c>
      <c r="AD18" s="70">
        <f>L18/Setup!$E$13</f>
        <v>0</v>
      </c>
      <c r="AE18" s="70">
        <f>M18/Setup!$E$13</f>
        <v>0</v>
      </c>
      <c r="AF18" s="70">
        <f>N18/Setup!$E$13</f>
        <v>0</v>
      </c>
      <c r="AG18" s="70">
        <f>O18/Setup!$E$13</f>
        <v>0</v>
      </c>
      <c r="AH18" s="56">
        <f t="shared" si="15"/>
        <v>0</v>
      </c>
      <c r="AI18" s="56">
        <f t="shared" ref="AI18:AI19" si="18">iferror(average(V18:AG18),0)</f>
        <v>0</v>
      </c>
    </row>
    <row r="19" ht="19.5" customHeight="1" outlineLevel="1">
      <c r="A19" s="53"/>
      <c r="B19" s="54"/>
      <c r="C19" s="37" t="s">
        <v>32</v>
      </c>
      <c r="D19" s="55">
        <v>5.0</v>
      </c>
      <c r="E19" s="55">
        <v>5.0</v>
      </c>
      <c r="F19" s="55">
        <v>5.0</v>
      </c>
      <c r="G19" s="55">
        <v>5.0</v>
      </c>
      <c r="H19" s="55">
        <v>5.0</v>
      </c>
      <c r="I19" s="55">
        <v>5.0</v>
      </c>
      <c r="J19" s="55">
        <v>5.0</v>
      </c>
      <c r="K19" s="55">
        <v>5.0</v>
      </c>
      <c r="L19" s="55">
        <v>5.0</v>
      </c>
      <c r="M19" s="55">
        <v>5.0</v>
      </c>
      <c r="N19" s="55">
        <v>5.0</v>
      </c>
      <c r="O19" s="55">
        <v>5.0</v>
      </c>
      <c r="P19" s="56">
        <f t="shared" si="14"/>
        <v>60</v>
      </c>
      <c r="Q19" s="56">
        <f t="shared" si="16"/>
        <v>5</v>
      </c>
      <c r="R19" s="43"/>
      <c r="S19" s="53"/>
      <c r="T19" s="54"/>
      <c r="U19" s="37" t="str">
        <f t="shared" si="17"/>
        <v>Vitamins &amp; Minireals - Contibution</v>
      </c>
      <c r="V19" s="70">
        <f>D19/Setup!$E$13</f>
        <v>2.5</v>
      </c>
      <c r="W19" s="70">
        <f>E19/Setup!$E$13</f>
        <v>2.5</v>
      </c>
      <c r="X19" s="70">
        <f>F19/Setup!$E$13</f>
        <v>2.5</v>
      </c>
      <c r="Y19" s="70">
        <f>G19/Setup!$E$13</f>
        <v>2.5</v>
      </c>
      <c r="Z19" s="70">
        <f>H19/Setup!$E$13</f>
        <v>2.5</v>
      </c>
      <c r="AA19" s="70">
        <f>I19/Setup!$E$13</f>
        <v>2.5</v>
      </c>
      <c r="AB19" s="70">
        <f>J19/Setup!$E$13</f>
        <v>2.5</v>
      </c>
      <c r="AC19" s="70">
        <f>K19/Setup!$E$13</f>
        <v>2.5</v>
      </c>
      <c r="AD19" s="70">
        <f>L19/Setup!$E$13</f>
        <v>2.5</v>
      </c>
      <c r="AE19" s="70">
        <f>M19/Setup!$E$13</f>
        <v>2.5</v>
      </c>
      <c r="AF19" s="70">
        <f>N19/Setup!$E$13</f>
        <v>2.5</v>
      </c>
      <c r="AG19" s="70">
        <f>O19/Setup!$E$13</f>
        <v>2.5</v>
      </c>
      <c r="AH19" s="56">
        <f t="shared" si="15"/>
        <v>30</v>
      </c>
      <c r="AI19" s="56">
        <f t="shared" si="18"/>
        <v>2.5</v>
      </c>
    </row>
    <row r="20" ht="19.5" customHeight="1">
      <c r="A20" s="53"/>
      <c r="B20" s="54"/>
      <c r="C20" s="58"/>
      <c r="D20" s="55"/>
      <c r="E20" s="55"/>
      <c r="F20" s="55"/>
      <c r="G20" s="55"/>
      <c r="H20" s="55"/>
      <c r="I20" s="55"/>
      <c r="J20" s="62"/>
      <c r="K20" s="62"/>
      <c r="L20" s="55"/>
      <c r="M20" s="55"/>
      <c r="N20" s="55"/>
      <c r="O20" s="55"/>
      <c r="P20" s="56"/>
      <c r="Q20" s="56"/>
      <c r="R20" s="43"/>
      <c r="S20" s="53"/>
      <c r="T20" s="54"/>
      <c r="U20" s="58"/>
      <c r="V20" s="55"/>
      <c r="W20" s="55"/>
      <c r="X20" s="55"/>
      <c r="Y20" s="55"/>
      <c r="Z20" s="55"/>
      <c r="AA20" s="55"/>
      <c r="AB20" s="62"/>
      <c r="AC20" s="62"/>
      <c r="AD20" s="55"/>
      <c r="AE20" s="55"/>
      <c r="AF20" s="55"/>
      <c r="AG20" s="55"/>
      <c r="AH20" s="56"/>
      <c r="AI20" s="56"/>
    </row>
    <row r="21" ht="19.5" hidden="1" customHeight="1">
      <c r="A21" s="68"/>
      <c r="B21" s="69"/>
      <c r="C21" s="65"/>
      <c r="D21" s="55"/>
      <c r="E21" s="55"/>
      <c r="F21" s="55"/>
      <c r="G21" s="55"/>
      <c r="H21" s="55"/>
      <c r="I21" s="55"/>
      <c r="J21" s="55"/>
      <c r="K21" s="55"/>
      <c r="L21" s="55"/>
      <c r="M21" s="55"/>
      <c r="N21" s="55"/>
      <c r="O21" s="55"/>
      <c r="P21" s="60"/>
      <c r="Q21" s="60"/>
      <c r="R21" s="43"/>
      <c r="S21" s="68"/>
      <c r="T21" s="69"/>
      <c r="U21" s="65"/>
      <c r="V21" s="55"/>
      <c r="W21" s="55"/>
      <c r="X21" s="55"/>
      <c r="Y21" s="55"/>
      <c r="Z21" s="55"/>
      <c r="AA21" s="55"/>
      <c r="AB21" s="55"/>
      <c r="AC21" s="55"/>
      <c r="AD21" s="55"/>
      <c r="AE21" s="55"/>
      <c r="AF21" s="55"/>
      <c r="AG21" s="55"/>
      <c r="AH21" s="60"/>
      <c r="AI21" s="60"/>
    </row>
    <row r="22" ht="24.0" customHeight="1">
      <c r="A22" s="28" t="s">
        <v>33</v>
      </c>
      <c r="B22" s="30"/>
      <c r="C22" s="32" t="s">
        <v>9</v>
      </c>
      <c r="D22" s="48">
        <f t="shared" ref="D22:O22" si="19">sum(D23:D30)</f>
        <v>554.94</v>
      </c>
      <c r="E22" s="48">
        <f t="shared" si="19"/>
        <v>554.94</v>
      </c>
      <c r="F22" s="48">
        <f t="shared" si="19"/>
        <v>554.94</v>
      </c>
      <c r="G22" s="48">
        <f t="shared" si="19"/>
        <v>554.94</v>
      </c>
      <c r="H22" s="48">
        <f t="shared" si="19"/>
        <v>554.94</v>
      </c>
      <c r="I22" s="48">
        <f t="shared" si="19"/>
        <v>554.94</v>
      </c>
      <c r="J22" s="48">
        <f t="shared" si="19"/>
        <v>554.94</v>
      </c>
      <c r="K22" s="48">
        <f t="shared" si="19"/>
        <v>554.94</v>
      </c>
      <c r="L22" s="48">
        <f t="shared" si="19"/>
        <v>554.94</v>
      </c>
      <c r="M22" s="48">
        <f t="shared" si="19"/>
        <v>554.94</v>
      </c>
      <c r="N22" s="48">
        <f t="shared" si="19"/>
        <v>554.94</v>
      </c>
      <c r="O22" s="48">
        <f t="shared" si="19"/>
        <v>554.94</v>
      </c>
      <c r="P22" s="49">
        <f t="shared" ref="P22:P28" si="21">sum(D22:O22)</f>
        <v>6659.28</v>
      </c>
      <c r="Q22" s="49">
        <f>iferror(average(D22:O22),"")</f>
        <v>554.94</v>
      </c>
      <c r="R22" s="51"/>
      <c r="S22" s="28" t="s">
        <v>33</v>
      </c>
      <c r="T22" s="30"/>
      <c r="U22" s="32" t="s">
        <v>9</v>
      </c>
      <c r="V22" s="48">
        <f t="shared" ref="V22:AG22" si="20">sum(V23:V30)</f>
        <v>277.47</v>
      </c>
      <c r="W22" s="48">
        <f t="shared" si="20"/>
        <v>277.47</v>
      </c>
      <c r="X22" s="48">
        <f t="shared" si="20"/>
        <v>277.47</v>
      </c>
      <c r="Y22" s="48">
        <f t="shared" si="20"/>
        <v>277.47</v>
      </c>
      <c r="Z22" s="48">
        <f t="shared" si="20"/>
        <v>277.47</v>
      </c>
      <c r="AA22" s="48">
        <f t="shared" si="20"/>
        <v>277.47</v>
      </c>
      <c r="AB22" s="48">
        <f t="shared" si="20"/>
        <v>277.47</v>
      </c>
      <c r="AC22" s="48">
        <f t="shared" si="20"/>
        <v>277.47</v>
      </c>
      <c r="AD22" s="48">
        <f t="shared" si="20"/>
        <v>277.47</v>
      </c>
      <c r="AE22" s="48">
        <f t="shared" si="20"/>
        <v>277.47</v>
      </c>
      <c r="AF22" s="48">
        <f t="shared" si="20"/>
        <v>277.47</v>
      </c>
      <c r="AG22" s="48">
        <f t="shared" si="20"/>
        <v>277.47</v>
      </c>
      <c r="AH22" s="49">
        <f t="shared" ref="AH22:AH28" si="22">sum(V22:AG22)</f>
        <v>3329.64</v>
      </c>
      <c r="AI22" s="49">
        <f>iferror(average(V22:AG22),"")</f>
        <v>277.47</v>
      </c>
    </row>
    <row r="23" ht="19.5" customHeight="1" outlineLevel="1">
      <c r="A23" s="53"/>
      <c r="B23" s="54"/>
      <c r="C23" s="58" t="s">
        <v>34</v>
      </c>
      <c r="D23" s="55">
        <v>426.94</v>
      </c>
      <c r="E23" s="55">
        <v>426.94</v>
      </c>
      <c r="F23" s="55">
        <v>426.94</v>
      </c>
      <c r="G23" s="55">
        <v>426.94</v>
      </c>
      <c r="H23" s="55">
        <v>426.94</v>
      </c>
      <c r="I23" s="55">
        <v>426.94</v>
      </c>
      <c r="J23" s="55">
        <v>426.94</v>
      </c>
      <c r="K23" s="55">
        <v>426.94</v>
      </c>
      <c r="L23" s="55">
        <v>426.94</v>
      </c>
      <c r="M23" s="55">
        <v>426.94</v>
      </c>
      <c r="N23" s="55">
        <v>426.94</v>
      </c>
      <c r="O23" s="55">
        <v>426.94</v>
      </c>
      <c r="P23" s="56">
        <f t="shared" si="21"/>
        <v>5123.28</v>
      </c>
      <c r="Q23" s="56">
        <f t="shared" ref="Q23:Q28" si="23">iferror(average(D23:O23),0)</f>
        <v>426.94</v>
      </c>
      <c r="R23" s="43"/>
      <c r="S23" s="53"/>
      <c r="T23" s="54"/>
      <c r="U23" s="37" t="str">
        <f t="shared" ref="U23:U28" si="24">CONCATENATE(C23," - Contibution")</f>
        <v>Rent/mortgage - Contibution</v>
      </c>
      <c r="V23" s="70">
        <f>D23/Setup!$E$13</f>
        <v>213.47</v>
      </c>
      <c r="W23" s="70">
        <f>E23/Setup!$E$13</f>
        <v>213.47</v>
      </c>
      <c r="X23" s="70">
        <f>F23/Setup!$E$13</f>
        <v>213.47</v>
      </c>
      <c r="Y23" s="70">
        <f>G23/Setup!$E$13</f>
        <v>213.47</v>
      </c>
      <c r="Z23" s="70">
        <f>H23/Setup!$E$13</f>
        <v>213.47</v>
      </c>
      <c r="AA23" s="70">
        <f>I23/Setup!$E$13</f>
        <v>213.47</v>
      </c>
      <c r="AB23" s="70">
        <f>J23/Setup!$E$13</f>
        <v>213.47</v>
      </c>
      <c r="AC23" s="70">
        <f>K23/Setup!$E$13</f>
        <v>213.47</v>
      </c>
      <c r="AD23" s="70">
        <f>L23/Setup!$E$13</f>
        <v>213.47</v>
      </c>
      <c r="AE23" s="70">
        <f>M23/Setup!$E$13</f>
        <v>213.47</v>
      </c>
      <c r="AF23" s="70">
        <f>N23/Setup!$E$13</f>
        <v>213.47</v>
      </c>
      <c r="AG23" s="70">
        <f>O23/Setup!$E$13</f>
        <v>213.47</v>
      </c>
      <c r="AH23" s="56">
        <f t="shared" si="22"/>
        <v>2561.64</v>
      </c>
      <c r="AI23" s="56">
        <f t="shared" ref="AI23:AI28" si="25">iferror(average(V23:AG23),0)</f>
        <v>213.47</v>
      </c>
    </row>
    <row r="24" ht="19.5" customHeight="1" outlineLevel="1">
      <c r="A24" s="53"/>
      <c r="B24" s="54"/>
      <c r="C24" s="37" t="s">
        <v>35</v>
      </c>
      <c r="D24" s="55">
        <v>118.0</v>
      </c>
      <c r="E24" s="55">
        <v>118.0</v>
      </c>
      <c r="F24" s="55">
        <v>118.0</v>
      </c>
      <c r="G24" s="55">
        <v>118.0</v>
      </c>
      <c r="H24" s="55">
        <v>118.0</v>
      </c>
      <c r="I24" s="55">
        <v>118.0</v>
      </c>
      <c r="J24" s="55">
        <v>118.0</v>
      </c>
      <c r="K24" s="55">
        <v>118.0</v>
      </c>
      <c r="L24" s="55">
        <v>118.0</v>
      </c>
      <c r="M24" s="55">
        <v>118.0</v>
      </c>
      <c r="N24" s="55">
        <v>118.0</v>
      </c>
      <c r="O24" s="55">
        <v>118.0</v>
      </c>
      <c r="P24" s="56">
        <f t="shared" si="21"/>
        <v>1416</v>
      </c>
      <c r="Q24" s="56">
        <f t="shared" si="23"/>
        <v>118</v>
      </c>
      <c r="R24" s="43"/>
      <c r="S24" s="53"/>
      <c r="T24" s="54"/>
      <c r="U24" s="37" t="str">
        <f t="shared" si="24"/>
        <v>Council Tax - Contibution</v>
      </c>
      <c r="V24" s="70">
        <f>D24/Setup!$E$13</f>
        <v>59</v>
      </c>
      <c r="W24" s="70">
        <f>E24/Setup!$E$13</f>
        <v>59</v>
      </c>
      <c r="X24" s="70">
        <f>F24/Setup!$E$13</f>
        <v>59</v>
      </c>
      <c r="Y24" s="70">
        <f>G24/Setup!$E$13</f>
        <v>59</v>
      </c>
      <c r="Z24" s="70">
        <f>H24/Setup!$E$13</f>
        <v>59</v>
      </c>
      <c r="AA24" s="70">
        <f>I24/Setup!$E$13</f>
        <v>59</v>
      </c>
      <c r="AB24" s="70">
        <f>J24/Setup!$E$13</f>
        <v>59</v>
      </c>
      <c r="AC24" s="70">
        <f>K24/Setup!$E$13</f>
        <v>59</v>
      </c>
      <c r="AD24" s="70">
        <f>L24/Setup!$E$13</f>
        <v>59</v>
      </c>
      <c r="AE24" s="70">
        <f>M24/Setup!$E$13</f>
        <v>59</v>
      </c>
      <c r="AF24" s="70">
        <f>N24/Setup!$E$13</f>
        <v>59</v>
      </c>
      <c r="AG24" s="70">
        <f>O24/Setup!$E$13</f>
        <v>59</v>
      </c>
      <c r="AH24" s="56">
        <f t="shared" si="22"/>
        <v>708</v>
      </c>
      <c r="AI24" s="56">
        <f t="shared" si="25"/>
        <v>59</v>
      </c>
    </row>
    <row r="25" ht="19.5" customHeight="1" outlineLevel="1">
      <c r="A25" s="53"/>
      <c r="B25" s="54"/>
      <c r="C25" s="58" t="s">
        <v>36</v>
      </c>
      <c r="D25" s="55">
        <v>0.0</v>
      </c>
      <c r="E25" s="55">
        <v>0.0</v>
      </c>
      <c r="F25" s="55">
        <v>0.0</v>
      </c>
      <c r="G25" s="55">
        <v>0.0</v>
      </c>
      <c r="H25" s="55">
        <v>0.0</v>
      </c>
      <c r="I25" s="55">
        <v>0.0</v>
      </c>
      <c r="J25" s="55">
        <v>0.0</v>
      </c>
      <c r="K25" s="55">
        <v>0.0</v>
      </c>
      <c r="L25" s="55">
        <v>0.0</v>
      </c>
      <c r="M25" s="55">
        <v>0.0</v>
      </c>
      <c r="N25" s="55">
        <v>0.0</v>
      </c>
      <c r="O25" s="55">
        <v>0.0</v>
      </c>
      <c r="P25" s="56">
        <f t="shared" si="21"/>
        <v>0</v>
      </c>
      <c r="Q25" s="56">
        <f t="shared" si="23"/>
        <v>0</v>
      </c>
      <c r="R25" s="43"/>
      <c r="S25" s="53"/>
      <c r="T25" s="54"/>
      <c r="U25" s="37" t="str">
        <f t="shared" si="24"/>
        <v>Furnishings - Contibution</v>
      </c>
      <c r="V25" s="70">
        <f>D25/Setup!$E$13</f>
        <v>0</v>
      </c>
      <c r="W25" s="70">
        <f>E25/Setup!$E$13</f>
        <v>0</v>
      </c>
      <c r="X25" s="70">
        <f>F25/Setup!$E$13</f>
        <v>0</v>
      </c>
      <c r="Y25" s="70">
        <f>G25/Setup!$E$13</f>
        <v>0</v>
      </c>
      <c r="Z25" s="70">
        <f>H25/Setup!$E$13</f>
        <v>0</v>
      </c>
      <c r="AA25" s="70">
        <f>I25/Setup!$E$13</f>
        <v>0</v>
      </c>
      <c r="AB25" s="70">
        <f>J25/Setup!$E$13</f>
        <v>0</v>
      </c>
      <c r="AC25" s="70">
        <f>K25/Setup!$E$13</f>
        <v>0</v>
      </c>
      <c r="AD25" s="70">
        <f>L25/Setup!$E$13</f>
        <v>0</v>
      </c>
      <c r="AE25" s="70">
        <f>M25/Setup!$E$13</f>
        <v>0</v>
      </c>
      <c r="AF25" s="70">
        <f>N25/Setup!$E$13</f>
        <v>0</v>
      </c>
      <c r="AG25" s="70">
        <f>O25/Setup!$E$13</f>
        <v>0</v>
      </c>
      <c r="AH25" s="56">
        <f t="shared" si="22"/>
        <v>0</v>
      </c>
      <c r="AI25" s="56">
        <f t="shared" si="25"/>
        <v>0</v>
      </c>
    </row>
    <row r="26" ht="19.5" customHeight="1" outlineLevel="1">
      <c r="A26" s="53"/>
      <c r="B26" s="54"/>
      <c r="C26" s="58" t="s">
        <v>37</v>
      </c>
      <c r="D26" s="55">
        <v>0.0</v>
      </c>
      <c r="E26" s="55">
        <v>0.0</v>
      </c>
      <c r="F26" s="55">
        <v>0.0</v>
      </c>
      <c r="G26" s="55">
        <v>0.0</v>
      </c>
      <c r="H26" s="55">
        <v>0.0</v>
      </c>
      <c r="I26" s="55">
        <v>0.0</v>
      </c>
      <c r="J26" s="55">
        <v>0.0</v>
      </c>
      <c r="K26" s="55">
        <v>0.0</v>
      </c>
      <c r="L26" s="55">
        <v>0.0</v>
      </c>
      <c r="M26" s="55">
        <v>0.0</v>
      </c>
      <c r="N26" s="55">
        <v>0.0</v>
      </c>
      <c r="O26" s="55">
        <v>0.0</v>
      </c>
      <c r="P26" s="56">
        <f t="shared" si="21"/>
        <v>0</v>
      </c>
      <c r="Q26" s="56">
        <f t="shared" si="23"/>
        <v>0</v>
      </c>
      <c r="R26" s="43"/>
      <c r="S26" s="53"/>
      <c r="T26" s="54"/>
      <c r="U26" s="37" t="str">
        <f t="shared" si="24"/>
        <v>Supplies - Contibution</v>
      </c>
      <c r="V26" s="70">
        <f>D26/Setup!$E$13</f>
        <v>0</v>
      </c>
      <c r="W26" s="70">
        <f>E26/Setup!$E$13</f>
        <v>0</v>
      </c>
      <c r="X26" s="70">
        <f>F26/Setup!$E$13</f>
        <v>0</v>
      </c>
      <c r="Y26" s="70">
        <f>G26/Setup!$E$13</f>
        <v>0</v>
      </c>
      <c r="Z26" s="70">
        <f>H26/Setup!$E$13</f>
        <v>0</v>
      </c>
      <c r="AA26" s="70">
        <f>I26/Setup!$E$13</f>
        <v>0</v>
      </c>
      <c r="AB26" s="70">
        <f>J26/Setup!$E$13</f>
        <v>0</v>
      </c>
      <c r="AC26" s="70">
        <f>K26/Setup!$E$13</f>
        <v>0</v>
      </c>
      <c r="AD26" s="70">
        <f>L26/Setup!$E$13</f>
        <v>0</v>
      </c>
      <c r="AE26" s="70">
        <f>M26/Setup!$E$13</f>
        <v>0</v>
      </c>
      <c r="AF26" s="70">
        <f>N26/Setup!$E$13</f>
        <v>0</v>
      </c>
      <c r="AG26" s="70">
        <f>O26/Setup!$E$13</f>
        <v>0</v>
      </c>
      <c r="AH26" s="56">
        <f t="shared" si="22"/>
        <v>0</v>
      </c>
      <c r="AI26" s="56">
        <f t="shared" si="25"/>
        <v>0</v>
      </c>
    </row>
    <row r="27" ht="19.5" customHeight="1" outlineLevel="1">
      <c r="A27" s="53"/>
      <c r="B27" s="54"/>
      <c r="C27" s="58" t="s">
        <v>38</v>
      </c>
      <c r="D27" s="55">
        <v>10.0</v>
      </c>
      <c r="E27" s="55">
        <v>10.0</v>
      </c>
      <c r="F27" s="55">
        <v>10.0</v>
      </c>
      <c r="G27" s="55">
        <v>10.0</v>
      </c>
      <c r="H27" s="55">
        <v>10.0</v>
      </c>
      <c r="I27" s="55">
        <v>10.0</v>
      </c>
      <c r="J27" s="55">
        <v>10.0</v>
      </c>
      <c r="K27" s="55">
        <v>10.0</v>
      </c>
      <c r="L27" s="55">
        <v>10.0</v>
      </c>
      <c r="M27" s="55">
        <v>10.0</v>
      </c>
      <c r="N27" s="55">
        <v>10.0</v>
      </c>
      <c r="O27" s="55">
        <v>10.0</v>
      </c>
      <c r="P27" s="56">
        <f t="shared" si="21"/>
        <v>120</v>
      </c>
      <c r="Q27" s="56">
        <f t="shared" si="23"/>
        <v>10</v>
      </c>
      <c r="R27" s="43"/>
      <c r="S27" s="53"/>
      <c r="T27" s="54"/>
      <c r="U27" s="37" t="str">
        <f t="shared" si="24"/>
        <v>Maintenance - Contibution</v>
      </c>
      <c r="V27" s="70">
        <f>D27/Setup!$E$13</f>
        <v>5</v>
      </c>
      <c r="W27" s="70">
        <f>E27/Setup!$E$13</f>
        <v>5</v>
      </c>
      <c r="X27" s="70">
        <f>F27/Setup!$E$13</f>
        <v>5</v>
      </c>
      <c r="Y27" s="70">
        <f>G27/Setup!$E$13</f>
        <v>5</v>
      </c>
      <c r="Z27" s="70">
        <f>H27/Setup!$E$13</f>
        <v>5</v>
      </c>
      <c r="AA27" s="70">
        <f>I27/Setup!$E$13</f>
        <v>5</v>
      </c>
      <c r="AB27" s="70">
        <f>J27/Setup!$E$13</f>
        <v>5</v>
      </c>
      <c r="AC27" s="70">
        <f>K27/Setup!$E$13</f>
        <v>5</v>
      </c>
      <c r="AD27" s="70">
        <f>L27/Setup!$E$13</f>
        <v>5</v>
      </c>
      <c r="AE27" s="70">
        <f>M27/Setup!$E$13</f>
        <v>5</v>
      </c>
      <c r="AF27" s="70">
        <f>N27/Setup!$E$13</f>
        <v>5</v>
      </c>
      <c r="AG27" s="70">
        <f>O27/Setup!$E$13</f>
        <v>5</v>
      </c>
      <c r="AH27" s="56">
        <f t="shared" si="22"/>
        <v>60</v>
      </c>
      <c r="AI27" s="56">
        <f t="shared" si="25"/>
        <v>5</v>
      </c>
    </row>
    <row r="28" ht="19.5" customHeight="1" outlineLevel="1">
      <c r="A28" s="53"/>
      <c r="B28" s="54"/>
      <c r="C28" s="58" t="s">
        <v>39</v>
      </c>
      <c r="D28" s="55">
        <v>0.0</v>
      </c>
      <c r="E28" s="55">
        <v>0.0</v>
      </c>
      <c r="F28" s="55">
        <v>0.0</v>
      </c>
      <c r="G28" s="55">
        <v>0.0</v>
      </c>
      <c r="H28" s="55">
        <v>0.0</v>
      </c>
      <c r="I28" s="55">
        <v>0.0</v>
      </c>
      <c r="J28" s="55">
        <v>0.0</v>
      </c>
      <c r="K28" s="55">
        <v>0.0</v>
      </c>
      <c r="L28" s="55">
        <v>0.0</v>
      </c>
      <c r="M28" s="55">
        <v>0.0</v>
      </c>
      <c r="N28" s="55">
        <v>0.0</v>
      </c>
      <c r="O28" s="55">
        <v>0.0</v>
      </c>
      <c r="P28" s="56">
        <f t="shared" si="21"/>
        <v>0</v>
      </c>
      <c r="Q28" s="56">
        <f t="shared" si="23"/>
        <v>0</v>
      </c>
      <c r="R28" s="43"/>
      <c r="S28" s="53"/>
      <c r="T28" s="54"/>
      <c r="U28" s="37" t="str">
        <f t="shared" si="24"/>
        <v>Improvements - Contibution</v>
      </c>
      <c r="V28" s="70">
        <f>D28/Setup!$E$13</f>
        <v>0</v>
      </c>
      <c r="W28" s="70">
        <f>E28/Setup!$E$13</f>
        <v>0</v>
      </c>
      <c r="X28" s="70">
        <f>F28/Setup!$E$13</f>
        <v>0</v>
      </c>
      <c r="Y28" s="70">
        <f>G28/Setup!$E$13</f>
        <v>0</v>
      </c>
      <c r="Z28" s="70">
        <f>H28/Setup!$E$13</f>
        <v>0</v>
      </c>
      <c r="AA28" s="70">
        <f>I28/Setup!$E$13</f>
        <v>0</v>
      </c>
      <c r="AB28" s="70">
        <f>J28/Setup!$E$13</f>
        <v>0</v>
      </c>
      <c r="AC28" s="70">
        <f>K28/Setup!$E$13</f>
        <v>0</v>
      </c>
      <c r="AD28" s="70">
        <f>L28/Setup!$E$13</f>
        <v>0</v>
      </c>
      <c r="AE28" s="70">
        <f>M28/Setup!$E$13</f>
        <v>0</v>
      </c>
      <c r="AF28" s="70">
        <f>N28/Setup!$E$13</f>
        <v>0</v>
      </c>
      <c r="AG28" s="70">
        <f>O28/Setup!$E$13</f>
        <v>0</v>
      </c>
      <c r="AH28" s="56">
        <f t="shared" si="22"/>
        <v>0</v>
      </c>
      <c r="AI28" s="56">
        <f t="shared" si="25"/>
        <v>0</v>
      </c>
    </row>
    <row r="29" ht="19.5" customHeight="1">
      <c r="A29" s="53"/>
      <c r="B29" s="54"/>
      <c r="C29" s="58"/>
      <c r="D29" s="55"/>
      <c r="E29" s="55"/>
      <c r="F29" s="55"/>
      <c r="G29" s="55"/>
      <c r="H29" s="55"/>
      <c r="I29" s="55"/>
      <c r="J29" s="62"/>
      <c r="K29" s="62"/>
      <c r="L29" s="55"/>
      <c r="M29" s="55"/>
      <c r="N29" s="55"/>
      <c r="O29" s="55"/>
      <c r="P29" s="56"/>
      <c r="Q29" s="56"/>
      <c r="R29" s="43"/>
      <c r="S29" s="53"/>
      <c r="T29" s="54"/>
      <c r="U29" s="58"/>
      <c r="V29" s="55"/>
      <c r="W29" s="55"/>
      <c r="X29" s="55"/>
      <c r="Y29" s="55"/>
      <c r="Z29" s="55"/>
      <c r="AA29" s="55"/>
      <c r="AB29" s="62"/>
      <c r="AC29" s="62"/>
      <c r="AD29" s="55"/>
      <c r="AE29" s="55"/>
      <c r="AF29" s="55"/>
      <c r="AG29" s="55"/>
      <c r="AH29" s="56"/>
      <c r="AI29" s="56"/>
    </row>
    <row r="30" ht="19.5" hidden="1" customHeight="1">
      <c r="A30" s="68"/>
      <c r="B30" s="69"/>
      <c r="C30" s="65"/>
      <c r="D30" s="55"/>
      <c r="E30" s="55"/>
      <c r="F30" s="55"/>
      <c r="G30" s="55"/>
      <c r="H30" s="55"/>
      <c r="I30" s="55"/>
      <c r="J30" s="55"/>
      <c r="K30" s="55"/>
      <c r="L30" s="55"/>
      <c r="M30" s="55"/>
      <c r="N30" s="55"/>
      <c r="O30" s="55"/>
      <c r="P30" s="60"/>
      <c r="Q30" s="60"/>
      <c r="R30" s="43"/>
      <c r="S30" s="68"/>
      <c r="T30" s="69"/>
      <c r="U30" s="65"/>
      <c r="V30" s="55"/>
      <c r="W30" s="55"/>
      <c r="X30" s="55"/>
      <c r="Y30" s="55"/>
      <c r="Z30" s="55"/>
      <c r="AA30" s="55"/>
      <c r="AB30" s="55"/>
      <c r="AC30" s="55"/>
      <c r="AD30" s="55"/>
      <c r="AE30" s="55"/>
      <c r="AF30" s="55"/>
      <c r="AG30" s="55"/>
      <c r="AH30" s="60"/>
      <c r="AI30" s="60"/>
    </row>
    <row r="31" ht="24.0" customHeight="1">
      <c r="A31" s="28" t="s">
        <v>40</v>
      </c>
      <c r="B31" s="30"/>
      <c r="C31" s="32" t="s">
        <v>9</v>
      </c>
      <c r="D31" s="48">
        <f t="shared" ref="D31:O31" si="26">sum(D32:D35)</f>
        <v>99.65</v>
      </c>
      <c r="E31" s="48">
        <f t="shared" si="26"/>
        <v>99.65</v>
      </c>
      <c r="F31" s="48">
        <f t="shared" si="26"/>
        <v>99.65</v>
      </c>
      <c r="G31" s="48">
        <f t="shared" si="26"/>
        <v>99.65</v>
      </c>
      <c r="H31" s="48">
        <f t="shared" si="26"/>
        <v>99.65</v>
      </c>
      <c r="I31" s="48">
        <f t="shared" si="26"/>
        <v>99.65</v>
      </c>
      <c r="J31" s="48">
        <f t="shared" si="26"/>
        <v>99.65</v>
      </c>
      <c r="K31" s="48">
        <f t="shared" si="26"/>
        <v>99.65</v>
      </c>
      <c r="L31" s="48">
        <f t="shared" si="26"/>
        <v>99.65</v>
      </c>
      <c r="M31" s="48">
        <f t="shared" si="26"/>
        <v>99.65</v>
      </c>
      <c r="N31" s="48">
        <f t="shared" si="26"/>
        <v>99.65</v>
      </c>
      <c r="O31" s="48">
        <f t="shared" si="26"/>
        <v>99.65</v>
      </c>
      <c r="P31" s="49">
        <f t="shared" ref="P31:P33" si="28">sum(D31:O31)</f>
        <v>1195.8</v>
      </c>
      <c r="Q31" s="49">
        <f>iferror(average(D31:O31),"")</f>
        <v>99.65</v>
      </c>
      <c r="R31" s="51"/>
      <c r="S31" s="28" t="s">
        <v>40</v>
      </c>
      <c r="T31" s="30"/>
      <c r="U31" s="32" t="s">
        <v>9</v>
      </c>
      <c r="V31" s="48">
        <f t="shared" ref="V31:AG31" si="27">sum(V32:V35)</f>
        <v>49.825</v>
      </c>
      <c r="W31" s="48">
        <f t="shared" si="27"/>
        <v>49.825</v>
      </c>
      <c r="X31" s="48">
        <f t="shared" si="27"/>
        <v>49.825</v>
      </c>
      <c r="Y31" s="48">
        <f t="shared" si="27"/>
        <v>49.825</v>
      </c>
      <c r="Z31" s="48">
        <f t="shared" si="27"/>
        <v>49.825</v>
      </c>
      <c r="AA31" s="48">
        <f t="shared" si="27"/>
        <v>49.825</v>
      </c>
      <c r="AB31" s="48">
        <f t="shared" si="27"/>
        <v>49.825</v>
      </c>
      <c r="AC31" s="48">
        <f t="shared" si="27"/>
        <v>49.825</v>
      </c>
      <c r="AD31" s="48">
        <f t="shared" si="27"/>
        <v>49.825</v>
      </c>
      <c r="AE31" s="48">
        <f t="shared" si="27"/>
        <v>49.825</v>
      </c>
      <c r="AF31" s="48">
        <f t="shared" si="27"/>
        <v>49.825</v>
      </c>
      <c r="AG31" s="48">
        <f t="shared" si="27"/>
        <v>49.825</v>
      </c>
      <c r="AH31" s="49">
        <f t="shared" ref="AH31:AH33" si="29">sum(V31:AG31)</f>
        <v>597.9</v>
      </c>
      <c r="AI31" s="49">
        <f>iferror(average(V31:AG31),"")</f>
        <v>49.825</v>
      </c>
    </row>
    <row r="32" ht="19.5" customHeight="1" outlineLevel="1">
      <c r="A32" s="53"/>
      <c r="B32" s="54"/>
      <c r="C32" s="58" t="s">
        <v>33</v>
      </c>
      <c r="D32" s="55">
        <v>31.91</v>
      </c>
      <c r="E32" s="55">
        <v>31.91</v>
      </c>
      <c r="F32" s="55">
        <v>31.91</v>
      </c>
      <c r="G32" s="55">
        <v>31.91</v>
      </c>
      <c r="H32" s="55">
        <v>31.91</v>
      </c>
      <c r="I32" s="55">
        <v>31.91</v>
      </c>
      <c r="J32" s="55">
        <v>31.91</v>
      </c>
      <c r="K32" s="55">
        <v>31.91</v>
      </c>
      <c r="L32" s="55">
        <v>31.91</v>
      </c>
      <c r="M32" s="55">
        <v>31.91</v>
      </c>
      <c r="N32" s="55">
        <v>31.91</v>
      </c>
      <c r="O32" s="55">
        <v>31.91</v>
      </c>
      <c r="P32" s="56">
        <f t="shared" si="28"/>
        <v>382.92</v>
      </c>
      <c r="Q32" s="56">
        <f t="shared" ref="Q32:Q33" si="30">iferror(average(D32:O32),0)</f>
        <v>31.91</v>
      </c>
      <c r="R32" s="43"/>
      <c r="S32" s="53"/>
      <c r="T32" s="54"/>
      <c r="U32" s="37" t="str">
        <f t="shared" ref="U32:U33" si="31">CONCATENATE(C32," - Contibution")</f>
        <v>Home - Contibution</v>
      </c>
      <c r="V32" s="96">
        <f>D32/Setup!$E$13</f>
        <v>15.955</v>
      </c>
      <c r="W32" s="96">
        <f>E32/Setup!$E$13</f>
        <v>15.955</v>
      </c>
      <c r="X32" s="96">
        <f>F32/Setup!$E$13</f>
        <v>15.955</v>
      </c>
      <c r="Y32" s="96">
        <f>G32/Setup!$E$13</f>
        <v>15.955</v>
      </c>
      <c r="Z32" s="96">
        <f>H32/Setup!$E$13</f>
        <v>15.955</v>
      </c>
      <c r="AA32" s="96">
        <f>I32/Setup!$E$13</f>
        <v>15.955</v>
      </c>
      <c r="AB32" s="96">
        <f>J32/Setup!$E$13</f>
        <v>15.955</v>
      </c>
      <c r="AC32" s="96">
        <f>K32/Setup!$E$13</f>
        <v>15.955</v>
      </c>
      <c r="AD32" s="96">
        <f>L32/Setup!$E$13</f>
        <v>15.955</v>
      </c>
      <c r="AE32" s="96">
        <f>M32/Setup!$E$13</f>
        <v>15.955</v>
      </c>
      <c r="AF32" s="96">
        <f>N32/Setup!$E$13</f>
        <v>15.955</v>
      </c>
      <c r="AG32" s="96">
        <f>O32/Setup!$E$13</f>
        <v>15.955</v>
      </c>
      <c r="AH32" s="56">
        <f t="shared" si="29"/>
        <v>191.46</v>
      </c>
      <c r="AI32" s="56">
        <f t="shared" ref="AI32:AI33" si="32">iferror(average(V32:AG32),0)</f>
        <v>15.955</v>
      </c>
    </row>
    <row r="33" ht="19.5" customHeight="1" outlineLevel="1">
      <c r="A33" s="53"/>
      <c r="B33" s="54"/>
      <c r="C33" s="37" t="s">
        <v>42</v>
      </c>
      <c r="D33" s="55">
        <v>67.74</v>
      </c>
      <c r="E33" s="55">
        <v>67.74</v>
      </c>
      <c r="F33" s="55">
        <v>67.74</v>
      </c>
      <c r="G33" s="55">
        <v>67.74</v>
      </c>
      <c r="H33" s="55">
        <v>67.74</v>
      </c>
      <c r="I33" s="55">
        <v>67.74</v>
      </c>
      <c r="J33" s="55">
        <v>67.74</v>
      </c>
      <c r="K33" s="55">
        <v>67.74</v>
      </c>
      <c r="L33" s="55">
        <v>67.74</v>
      </c>
      <c r="M33" s="55">
        <v>67.74</v>
      </c>
      <c r="N33" s="55">
        <v>67.74</v>
      </c>
      <c r="O33" s="55">
        <v>67.74</v>
      </c>
      <c r="P33" s="56">
        <f t="shared" si="28"/>
        <v>812.88</v>
      </c>
      <c r="Q33" s="56">
        <f t="shared" si="30"/>
        <v>67.74</v>
      </c>
      <c r="R33" s="43"/>
      <c r="S33" s="53"/>
      <c r="T33" s="54"/>
      <c r="U33" s="37" t="str">
        <f t="shared" si="31"/>
        <v>Pet - Contibution</v>
      </c>
      <c r="V33" s="96">
        <f>D33/Setup!$E$13</f>
        <v>33.87</v>
      </c>
      <c r="W33" s="96">
        <f>E33/Setup!$E$13</f>
        <v>33.87</v>
      </c>
      <c r="X33" s="96">
        <f>F33/Setup!$E$13</f>
        <v>33.87</v>
      </c>
      <c r="Y33" s="96">
        <f>G33/Setup!$E$13</f>
        <v>33.87</v>
      </c>
      <c r="Z33" s="96">
        <f>H33/Setup!$E$13</f>
        <v>33.87</v>
      </c>
      <c r="AA33" s="96">
        <f>I33/Setup!$E$13</f>
        <v>33.87</v>
      </c>
      <c r="AB33" s="96">
        <f>J33/Setup!$E$13</f>
        <v>33.87</v>
      </c>
      <c r="AC33" s="96">
        <f>K33/Setup!$E$13</f>
        <v>33.87</v>
      </c>
      <c r="AD33" s="96">
        <f>L33/Setup!$E$13</f>
        <v>33.87</v>
      </c>
      <c r="AE33" s="96">
        <f>M33/Setup!$E$13</f>
        <v>33.87</v>
      </c>
      <c r="AF33" s="96">
        <f>N33/Setup!$E$13</f>
        <v>33.87</v>
      </c>
      <c r="AG33" s="96">
        <f>O33/Setup!$E$13</f>
        <v>33.87</v>
      </c>
      <c r="AH33" s="56">
        <f t="shared" si="29"/>
        <v>406.44</v>
      </c>
      <c r="AI33" s="56">
        <f t="shared" si="32"/>
        <v>33.87</v>
      </c>
    </row>
    <row r="34" ht="19.5" customHeight="1">
      <c r="A34" s="53"/>
      <c r="B34" s="54"/>
      <c r="C34" s="58"/>
      <c r="D34" s="55"/>
      <c r="E34" s="55"/>
      <c r="F34" s="55"/>
      <c r="G34" s="55"/>
      <c r="H34" s="55"/>
      <c r="I34" s="55"/>
      <c r="J34" s="62"/>
      <c r="K34" s="62"/>
      <c r="L34" s="55"/>
      <c r="M34" s="55"/>
      <c r="N34" s="55"/>
      <c r="O34" s="55"/>
      <c r="P34" s="56"/>
      <c r="Q34" s="56"/>
      <c r="R34" s="43"/>
      <c r="S34" s="53"/>
      <c r="T34" s="54"/>
      <c r="U34" s="58"/>
      <c r="V34" s="55"/>
      <c r="W34" s="55"/>
      <c r="X34" s="55"/>
      <c r="Y34" s="55"/>
      <c r="Z34" s="55"/>
      <c r="AA34" s="55"/>
      <c r="AB34" s="62"/>
      <c r="AC34" s="62"/>
      <c r="AD34" s="55"/>
      <c r="AE34" s="55"/>
      <c r="AF34" s="55"/>
      <c r="AG34" s="55"/>
      <c r="AH34" s="56"/>
      <c r="AI34" s="56"/>
    </row>
    <row r="35" ht="19.5" hidden="1" customHeight="1">
      <c r="A35" s="68"/>
      <c r="B35" s="69"/>
      <c r="C35" s="58"/>
      <c r="D35" s="55"/>
      <c r="E35" s="55"/>
      <c r="F35" s="55"/>
      <c r="G35" s="55"/>
      <c r="H35" s="55"/>
      <c r="I35" s="55"/>
      <c r="J35" s="55"/>
      <c r="K35" s="55"/>
      <c r="L35" s="55"/>
      <c r="M35" s="55"/>
      <c r="N35" s="55"/>
      <c r="O35" s="55"/>
      <c r="P35" s="60"/>
      <c r="Q35" s="60"/>
      <c r="R35" s="43"/>
      <c r="S35" s="68"/>
      <c r="T35" s="69"/>
      <c r="U35" s="58"/>
      <c r="V35" s="55"/>
      <c r="W35" s="55"/>
      <c r="X35" s="55"/>
      <c r="Y35" s="55"/>
      <c r="Z35" s="55"/>
      <c r="AA35" s="55"/>
      <c r="AB35" s="55"/>
      <c r="AC35" s="55"/>
      <c r="AD35" s="55"/>
      <c r="AE35" s="55"/>
      <c r="AF35" s="55"/>
      <c r="AG35" s="55"/>
      <c r="AH35" s="60"/>
      <c r="AI35" s="60"/>
    </row>
    <row r="36" ht="24.0" customHeight="1">
      <c r="A36" s="28" t="s">
        <v>45</v>
      </c>
      <c r="B36" s="30"/>
      <c r="C36" s="32" t="s">
        <v>9</v>
      </c>
      <c r="D36" s="48">
        <f t="shared" ref="D36:O36" si="33">sum(D37:D42)</f>
        <v>90</v>
      </c>
      <c r="E36" s="48">
        <f t="shared" si="33"/>
        <v>90</v>
      </c>
      <c r="F36" s="48">
        <f t="shared" si="33"/>
        <v>90</v>
      </c>
      <c r="G36" s="48">
        <f t="shared" si="33"/>
        <v>90</v>
      </c>
      <c r="H36" s="48">
        <f t="shared" si="33"/>
        <v>90</v>
      </c>
      <c r="I36" s="48">
        <f t="shared" si="33"/>
        <v>90</v>
      </c>
      <c r="J36" s="48">
        <f t="shared" si="33"/>
        <v>90</v>
      </c>
      <c r="K36" s="48">
        <f t="shared" si="33"/>
        <v>90</v>
      </c>
      <c r="L36" s="48">
        <f t="shared" si="33"/>
        <v>90</v>
      </c>
      <c r="M36" s="48">
        <f t="shared" si="33"/>
        <v>90</v>
      </c>
      <c r="N36" s="48">
        <f t="shared" si="33"/>
        <v>90</v>
      </c>
      <c r="O36" s="48">
        <f t="shared" si="33"/>
        <v>90</v>
      </c>
      <c r="P36" s="49">
        <f t="shared" ref="P36:P40" si="35">sum(D36:O36)</f>
        <v>1080</v>
      </c>
      <c r="Q36" s="49">
        <f>iferror(average(D36:O36),"")</f>
        <v>90</v>
      </c>
      <c r="R36" s="51"/>
      <c r="S36" s="28" t="s">
        <v>45</v>
      </c>
      <c r="T36" s="30"/>
      <c r="U36" s="32" t="s">
        <v>9</v>
      </c>
      <c r="V36" s="48">
        <f t="shared" ref="V36:AG36" si="34">sum(V37:V42)</f>
        <v>45</v>
      </c>
      <c r="W36" s="48">
        <f t="shared" si="34"/>
        <v>45</v>
      </c>
      <c r="X36" s="48">
        <f t="shared" si="34"/>
        <v>45</v>
      </c>
      <c r="Y36" s="48">
        <f t="shared" si="34"/>
        <v>45</v>
      </c>
      <c r="Z36" s="48">
        <f t="shared" si="34"/>
        <v>45</v>
      </c>
      <c r="AA36" s="48">
        <f t="shared" si="34"/>
        <v>45</v>
      </c>
      <c r="AB36" s="48">
        <f t="shared" si="34"/>
        <v>45</v>
      </c>
      <c r="AC36" s="48">
        <f t="shared" si="34"/>
        <v>45</v>
      </c>
      <c r="AD36" s="48">
        <f t="shared" si="34"/>
        <v>45</v>
      </c>
      <c r="AE36" s="48">
        <f t="shared" si="34"/>
        <v>45</v>
      </c>
      <c r="AF36" s="48">
        <f t="shared" si="34"/>
        <v>45</v>
      </c>
      <c r="AG36" s="48">
        <f t="shared" si="34"/>
        <v>45</v>
      </c>
      <c r="AH36" s="49">
        <f t="shared" ref="AH36:AH40" si="36">sum(V36:AG36)</f>
        <v>540</v>
      </c>
      <c r="AI36" s="49">
        <f>iferror(average(V36:AG36),"")</f>
        <v>45</v>
      </c>
    </row>
    <row r="37" ht="19.5" customHeight="1" outlineLevel="1">
      <c r="A37" s="53"/>
      <c r="B37" s="54"/>
      <c r="C37" s="58" t="s">
        <v>47</v>
      </c>
      <c r="D37" s="55">
        <v>65.0</v>
      </c>
      <c r="E37" s="55">
        <v>65.0</v>
      </c>
      <c r="F37" s="55">
        <v>65.0</v>
      </c>
      <c r="G37" s="55">
        <v>65.0</v>
      </c>
      <c r="H37" s="55">
        <v>65.0</v>
      </c>
      <c r="I37" s="55">
        <v>65.0</v>
      </c>
      <c r="J37" s="55">
        <v>65.0</v>
      </c>
      <c r="K37" s="55">
        <v>65.0</v>
      </c>
      <c r="L37" s="55">
        <v>65.0</v>
      </c>
      <c r="M37" s="55">
        <v>65.0</v>
      </c>
      <c r="N37" s="55">
        <v>65.0</v>
      </c>
      <c r="O37" s="55">
        <v>65.0</v>
      </c>
      <c r="P37" s="56">
        <f t="shared" si="35"/>
        <v>780</v>
      </c>
      <c r="Q37" s="56">
        <f t="shared" ref="Q37:Q40" si="37">iferror(average(D37:O37),0)</f>
        <v>65</v>
      </c>
      <c r="R37" s="43"/>
      <c r="S37" s="53"/>
      <c r="T37" s="54"/>
      <c r="U37" s="37" t="str">
        <f t="shared" ref="U37:U40" si="38">CONCATENATE(C37," - Contibution")</f>
        <v>Food - Contibution</v>
      </c>
      <c r="V37" s="96">
        <f>D37/Setup!$E$13</f>
        <v>32.5</v>
      </c>
      <c r="W37" s="96">
        <f>E37/Setup!$E$13</f>
        <v>32.5</v>
      </c>
      <c r="X37" s="96">
        <f>F37/Setup!$E$13</f>
        <v>32.5</v>
      </c>
      <c r="Y37" s="96">
        <f>G37/Setup!$E$13</f>
        <v>32.5</v>
      </c>
      <c r="Z37" s="96">
        <f>H37/Setup!$E$13</f>
        <v>32.5</v>
      </c>
      <c r="AA37" s="96">
        <f>I37/Setup!$E$13</f>
        <v>32.5</v>
      </c>
      <c r="AB37" s="96">
        <f>J37/Setup!$E$13</f>
        <v>32.5</v>
      </c>
      <c r="AC37" s="96">
        <f>K37/Setup!$E$13</f>
        <v>32.5</v>
      </c>
      <c r="AD37" s="96">
        <f>L37/Setup!$E$13</f>
        <v>32.5</v>
      </c>
      <c r="AE37" s="96">
        <f>M37/Setup!$E$13</f>
        <v>32.5</v>
      </c>
      <c r="AF37" s="96">
        <f>N37/Setup!$E$13</f>
        <v>32.5</v>
      </c>
      <c r="AG37" s="96">
        <f>O37/Setup!$E$13</f>
        <v>32.5</v>
      </c>
      <c r="AH37" s="56">
        <f t="shared" si="36"/>
        <v>390</v>
      </c>
      <c r="AI37" s="56">
        <f t="shared" ref="AI37:AI40" si="39">iferror(average(V37:AG37),0)</f>
        <v>32.5</v>
      </c>
    </row>
    <row r="38" ht="19.5" customHeight="1" outlineLevel="1">
      <c r="A38" s="53"/>
      <c r="B38" s="54"/>
      <c r="C38" s="58" t="s">
        <v>48</v>
      </c>
      <c r="D38" s="55">
        <v>25.0</v>
      </c>
      <c r="E38" s="55">
        <v>25.0</v>
      </c>
      <c r="F38" s="55">
        <v>25.0</v>
      </c>
      <c r="G38" s="55">
        <v>25.0</v>
      </c>
      <c r="H38" s="55">
        <v>25.0</v>
      </c>
      <c r="I38" s="55">
        <v>25.0</v>
      </c>
      <c r="J38" s="55">
        <v>25.0</v>
      </c>
      <c r="K38" s="55">
        <v>25.0</v>
      </c>
      <c r="L38" s="55">
        <v>25.0</v>
      </c>
      <c r="M38" s="55">
        <v>25.0</v>
      </c>
      <c r="N38" s="55">
        <v>25.0</v>
      </c>
      <c r="O38" s="55">
        <v>25.0</v>
      </c>
      <c r="P38" s="56">
        <f t="shared" si="35"/>
        <v>300</v>
      </c>
      <c r="Q38" s="56">
        <f t="shared" si="37"/>
        <v>25</v>
      </c>
      <c r="R38" s="43"/>
      <c r="S38" s="53"/>
      <c r="T38" s="54"/>
      <c r="U38" s="37" t="str">
        <f t="shared" si="38"/>
        <v>Vet/medical - Contibution</v>
      </c>
      <c r="V38" s="96">
        <f>D38/Setup!$E$13</f>
        <v>12.5</v>
      </c>
      <c r="W38" s="96">
        <f>E38/Setup!$E$13</f>
        <v>12.5</v>
      </c>
      <c r="X38" s="96">
        <f>F38/Setup!$E$13</f>
        <v>12.5</v>
      </c>
      <c r="Y38" s="96">
        <f>G38/Setup!$E$13</f>
        <v>12.5</v>
      </c>
      <c r="Z38" s="96">
        <f>H38/Setup!$E$13</f>
        <v>12.5</v>
      </c>
      <c r="AA38" s="96">
        <f>I38/Setup!$E$13</f>
        <v>12.5</v>
      </c>
      <c r="AB38" s="96">
        <f>J38/Setup!$E$13</f>
        <v>12.5</v>
      </c>
      <c r="AC38" s="96">
        <f>K38/Setup!$E$13</f>
        <v>12.5</v>
      </c>
      <c r="AD38" s="96">
        <f>L38/Setup!$E$13</f>
        <v>12.5</v>
      </c>
      <c r="AE38" s="96">
        <f>M38/Setup!$E$13</f>
        <v>12.5</v>
      </c>
      <c r="AF38" s="96">
        <f>N38/Setup!$E$13</f>
        <v>12.5</v>
      </c>
      <c r="AG38" s="96">
        <f>O38/Setup!$E$13</f>
        <v>12.5</v>
      </c>
      <c r="AH38" s="56">
        <f t="shared" si="36"/>
        <v>150</v>
      </c>
      <c r="AI38" s="56">
        <f t="shared" si="39"/>
        <v>12.5</v>
      </c>
    </row>
    <row r="39" ht="19.5" customHeight="1" outlineLevel="1">
      <c r="A39" s="53"/>
      <c r="B39" s="54"/>
      <c r="C39" s="58" t="s">
        <v>49</v>
      </c>
      <c r="D39" s="55">
        <v>0.0</v>
      </c>
      <c r="E39" s="55">
        <v>0.0</v>
      </c>
      <c r="F39" s="55">
        <v>0.0</v>
      </c>
      <c r="G39" s="55">
        <v>0.0</v>
      </c>
      <c r="H39" s="55">
        <v>0.0</v>
      </c>
      <c r="I39" s="55">
        <v>0.0</v>
      </c>
      <c r="J39" s="55">
        <v>0.0</v>
      </c>
      <c r="K39" s="55">
        <v>0.0</v>
      </c>
      <c r="L39" s="55">
        <v>0.0</v>
      </c>
      <c r="M39" s="55">
        <v>0.0</v>
      </c>
      <c r="N39" s="55">
        <v>0.0</v>
      </c>
      <c r="O39" s="55">
        <v>0.0</v>
      </c>
      <c r="P39" s="56">
        <f t="shared" si="35"/>
        <v>0</v>
      </c>
      <c r="Q39" s="56">
        <f t="shared" si="37"/>
        <v>0</v>
      </c>
      <c r="R39" s="43"/>
      <c r="S39" s="53"/>
      <c r="T39" s="54"/>
      <c r="U39" s="37" t="str">
        <f t="shared" si="38"/>
        <v>Toys - Contibution</v>
      </c>
      <c r="V39" s="96">
        <f>D39/Setup!$E$13</f>
        <v>0</v>
      </c>
      <c r="W39" s="96">
        <f>E39/Setup!$E$13</f>
        <v>0</v>
      </c>
      <c r="X39" s="96">
        <f>F39/Setup!$E$13</f>
        <v>0</v>
      </c>
      <c r="Y39" s="96">
        <f>G39/Setup!$E$13</f>
        <v>0</v>
      </c>
      <c r="Z39" s="96">
        <f>H39/Setup!$E$13</f>
        <v>0</v>
      </c>
      <c r="AA39" s="96">
        <f>I39/Setup!$E$13</f>
        <v>0</v>
      </c>
      <c r="AB39" s="96">
        <f>J39/Setup!$E$13</f>
        <v>0</v>
      </c>
      <c r="AC39" s="96">
        <f>K39/Setup!$E$13</f>
        <v>0</v>
      </c>
      <c r="AD39" s="96">
        <f>L39/Setup!$E$13</f>
        <v>0</v>
      </c>
      <c r="AE39" s="96">
        <f>M39/Setup!$E$13</f>
        <v>0</v>
      </c>
      <c r="AF39" s="96">
        <f>N39/Setup!$E$13</f>
        <v>0</v>
      </c>
      <c r="AG39" s="96">
        <f>O39/Setup!$E$13</f>
        <v>0</v>
      </c>
      <c r="AH39" s="56">
        <f t="shared" si="36"/>
        <v>0</v>
      </c>
      <c r="AI39" s="56">
        <f t="shared" si="39"/>
        <v>0</v>
      </c>
    </row>
    <row r="40" ht="19.5" customHeight="1" outlineLevel="1">
      <c r="A40" s="53"/>
      <c r="B40" s="54"/>
      <c r="C40" s="58" t="s">
        <v>37</v>
      </c>
      <c r="D40" s="55">
        <v>0.0</v>
      </c>
      <c r="E40" s="55">
        <v>0.0</v>
      </c>
      <c r="F40" s="55">
        <v>0.0</v>
      </c>
      <c r="G40" s="55">
        <v>0.0</v>
      </c>
      <c r="H40" s="55">
        <v>0.0</v>
      </c>
      <c r="I40" s="55">
        <v>0.0</v>
      </c>
      <c r="J40" s="55">
        <v>0.0</v>
      </c>
      <c r="K40" s="55">
        <v>0.0</v>
      </c>
      <c r="L40" s="55">
        <v>0.0</v>
      </c>
      <c r="M40" s="55">
        <v>0.0</v>
      </c>
      <c r="N40" s="55">
        <v>0.0</v>
      </c>
      <c r="O40" s="55">
        <v>0.0</v>
      </c>
      <c r="P40" s="56">
        <f t="shared" si="35"/>
        <v>0</v>
      </c>
      <c r="Q40" s="56">
        <f t="shared" si="37"/>
        <v>0</v>
      </c>
      <c r="R40" s="43"/>
      <c r="S40" s="53"/>
      <c r="T40" s="54"/>
      <c r="U40" s="37" t="str">
        <f t="shared" si="38"/>
        <v>Supplies - Contibution</v>
      </c>
      <c r="V40" s="96">
        <f>D40/Setup!$E$13</f>
        <v>0</v>
      </c>
      <c r="W40" s="96">
        <f>E40/Setup!$E$13</f>
        <v>0</v>
      </c>
      <c r="X40" s="96">
        <f>F40/Setup!$E$13</f>
        <v>0</v>
      </c>
      <c r="Y40" s="96">
        <f>G40/Setup!$E$13</f>
        <v>0</v>
      </c>
      <c r="Z40" s="96">
        <f>H40/Setup!$E$13</f>
        <v>0</v>
      </c>
      <c r="AA40" s="96">
        <f>I40/Setup!$E$13</f>
        <v>0</v>
      </c>
      <c r="AB40" s="96">
        <f>J40/Setup!$E$13</f>
        <v>0</v>
      </c>
      <c r="AC40" s="96">
        <f>K40/Setup!$E$13</f>
        <v>0</v>
      </c>
      <c r="AD40" s="96">
        <f>L40/Setup!$E$13</f>
        <v>0</v>
      </c>
      <c r="AE40" s="96">
        <f>M40/Setup!$E$13</f>
        <v>0</v>
      </c>
      <c r="AF40" s="96">
        <f>N40/Setup!$E$13</f>
        <v>0</v>
      </c>
      <c r="AG40" s="96">
        <f>O40/Setup!$E$13</f>
        <v>0</v>
      </c>
      <c r="AH40" s="56">
        <f t="shared" si="36"/>
        <v>0</v>
      </c>
      <c r="AI40" s="56">
        <f t="shared" si="39"/>
        <v>0</v>
      </c>
    </row>
    <row r="41" ht="19.5" customHeight="1">
      <c r="A41" s="53"/>
      <c r="B41" s="54"/>
      <c r="C41" s="58"/>
      <c r="D41" s="55"/>
      <c r="E41" s="55"/>
      <c r="F41" s="55"/>
      <c r="G41" s="55"/>
      <c r="H41" s="55"/>
      <c r="I41" s="55"/>
      <c r="J41" s="62"/>
      <c r="K41" s="62"/>
      <c r="L41" s="55"/>
      <c r="M41" s="55"/>
      <c r="N41" s="55"/>
      <c r="O41" s="55"/>
      <c r="P41" s="56"/>
      <c r="Q41" s="56"/>
      <c r="R41" s="43"/>
      <c r="S41" s="53"/>
      <c r="T41" s="54"/>
      <c r="U41" s="58"/>
      <c r="V41" s="55"/>
      <c r="W41" s="55"/>
      <c r="X41" s="55"/>
      <c r="Y41" s="55"/>
      <c r="Z41" s="55"/>
      <c r="AA41" s="55"/>
      <c r="AB41" s="62"/>
      <c r="AC41" s="62"/>
      <c r="AD41" s="55"/>
      <c r="AE41" s="55"/>
      <c r="AF41" s="55"/>
      <c r="AG41" s="55"/>
      <c r="AH41" s="56"/>
      <c r="AI41" s="56"/>
    </row>
    <row r="42" ht="19.5" hidden="1" customHeight="1">
      <c r="A42" s="68"/>
      <c r="B42" s="69"/>
      <c r="C42" s="58"/>
      <c r="D42" s="55"/>
      <c r="E42" s="55"/>
      <c r="F42" s="55"/>
      <c r="G42" s="55"/>
      <c r="H42" s="55"/>
      <c r="I42" s="55"/>
      <c r="J42" s="55"/>
      <c r="K42" s="55"/>
      <c r="L42" s="55"/>
      <c r="M42" s="55"/>
      <c r="N42" s="55"/>
      <c r="O42" s="55"/>
      <c r="P42" s="60"/>
      <c r="Q42" s="60"/>
      <c r="R42" s="43"/>
      <c r="S42" s="68"/>
      <c r="T42" s="69"/>
      <c r="U42" s="58"/>
      <c r="V42" s="55"/>
      <c r="W42" s="55"/>
      <c r="X42" s="55"/>
      <c r="Y42" s="55"/>
      <c r="Z42" s="55"/>
      <c r="AA42" s="55"/>
      <c r="AB42" s="55"/>
      <c r="AC42" s="55"/>
      <c r="AD42" s="55"/>
      <c r="AE42" s="55"/>
      <c r="AF42" s="55"/>
      <c r="AG42" s="55"/>
      <c r="AH42" s="60"/>
      <c r="AI42" s="60"/>
    </row>
    <row r="43" ht="24.0" customHeight="1">
      <c r="A43" s="28" t="s">
        <v>51</v>
      </c>
      <c r="B43" s="30"/>
      <c r="C43" s="32" t="s">
        <v>9</v>
      </c>
      <c r="D43" s="48">
        <f t="shared" ref="D43:O43" si="40">sum(D44:D48)</f>
        <v>10</v>
      </c>
      <c r="E43" s="48">
        <f t="shared" si="40"/>
        <v>10</v>
      </c>
      <c r="F43" s="48">
        <f t="shared" si="40"/>
        <v>10</v>
      </c>
      <c r="G43" s="48">
        <f t="shared" si="40"/>
        <v>10</v>
      </c>
      <c r="H43" s="48">
        <f t="shared" si="40"/>
        <v>10</v>
      </c>
      <c r="I43" s="48">
        <f t="shared" si="40"/>
        <v>10</v>
      </c>
      <c r="J43" s="48">
        <f t="shared" si="40"/>
        <v>10</v>
      </c>
      <c r="K43" s="48">
        <f t="shared" si="40"/>
        <v>10</v>
      </c>
      <c r="L43" s="48">
        <f t="shared" si="40"/>
        <v>10</v>
      </c>
      <c r="M43" s="48">
        <f t="shared" si="40"/>
        <v>10</v>
      </c>
      <c r="N43" s="48">
        <f t="shared" si="40"/>
        <v>10</v>
      </c>
      <c r="O43" s="48">
        <f t="shared" si="40"/>
        <v>10</v>
      </c>
      <c r="P43" s="49">
        <f t="shared" ref="P43:P46" si="42">sum(D43:O43)</f>
        <v>120</v>
      </c>
      <c r="Q43" s="49">
        <f>iferror(average(D43:O43),"")</f>
        <v>10</v>
      </c>
      <c r="R43" s="51"/>
      <c r="S43" s="28" t="s">
        <v>51</v>
      </c>
      <c r="T43" s="30"/>
      <c r="U43" s="32" t="s">
        <v>9</v>
      </c>
      <c r="V43" s="48">
        <f t="shared" ref="V43:AG43" si="41">sum(V44:V48)</f>
        <v>5</v>
      </c>
      <c r="W43" s="48">
        <f t="shared" si="41"/>
        <v>5</v>
      </c>
      <c r="X43" s="48">
        <f t="shared" si="41"/>
        <v>5</v>
      </c>
      <c r="Y43" s="48">
        <f t="shared" si="41"/>
        <v>5</v>
      </c>
      <c r="Z43" s="48">
        <f t="shared" si="41"/>
        <v>5</v>
      </c>
      <c r="AA43" s="48">
        <f t="shared" si="41"/>
        <v>5</v>
      </c>
      <c r="AB43" s="48">
        <f t="shared" si="41"/>
        <v>5</v>
      </c>
      <c r="AC43" s="48">
        <f t="shared" si="41"/>
        <v>5</v>
      </c>
      <c r="AD43" s="48">
        <f t="shared" si="41"/>
        <v>5</v>
      </c>
      <c r="AE43" s="48">
        <f t="shared" si="41"/>
        <v>5</v>
      </c>
      <c r="AF43" s="48">
        <f t="shared" si="41"/>
        <v>5</v>
      </c>
      <c r="AG43" s="48">
        <f t="shared" si="41"/>
        <v>5</v>
      </c>
      <c r="AH43" s="49">
        <f t="shared" ref="AH43:AH46" si="43">sum(V43:AG43)</f>
        <v>60</v>
      </c>
      <c r="AI43" s="49">
        <f>iferror(average(V43:AG43),"")</f>
        <v>5</v>
      </c>
    </row>
    <row r="44" ht="19.5" customHeight="1" outlineLevel="1">
      <c r="A44" s="53"/>
      <c r="B44" s="54"/>
      <c r="C44" s="58" t="s">
        <v>52</v>
      </c>
      <c r="D44" s="55">
        <v>10.0</v>
      </c>
      <c r="E44" s="55">
        <v>10.0</v>
      </c>
      <c r="F44" s="55">
        <v>10.0</v>
      </c>
      <c r="G44" s="55">
        <v>10.0</v>
      </c>
      <c r="H44" s="55">
        <v>10.0</v>
      </c>
      <c r="I44" s="55">
        <v>10.0</v>
      </c>
      <c r="J44" s="55">
        <v>10.0</v>
      </c>
      <c r="K44" s="55">
        <v>10.0</v>
      </c>
      <c r="L44" s="55">
        <v>10.0</v>
      </c>
      <c r="M44" s="55">
        <v>10.0</v>
      </c>
      <c r="N44" s="55">
        <v>10.0</v>
      </c>
      <c r="O44" s="55">
        <v>10.0</v>
      </c>
      <c r="P44" s="56">
        <f t="shared" si="42"/>
        <v>120</v>
      </c>
      <c r="Q44" s="56">
        <f t="shared" ref="Q44:Q46" si="44">iferror(average(D44:O44),0)</f>
        <v>10</v>
      </c>
      <c r="R44" s="43"/>
      <c r="S44" s="53"/>
      <c r="T44" s="54"/>
      <c r="U44" s="37" t="str">
        <f t="shared" ref="U44:U46" si="45">CONCATENATE(C44," - Contibution")</f>
        <v>Online services - Contibution</v>
      </c>
      <c r="V44" s="96">
        <f>D44/Setup!$E$13</f>
        <v>5</v>
      </c>
      <c r="W44" s="96">
        <f>E44/Setup!$E$13</f>
        <v>5</v>
      </c>
      <c r="X44" s="96">
        <f>F44/Setup!$E$13</f>
        <v>5</v>
      </c>
      <c r="Y44" s="96">
        <f>G44/Setup!$E$13</f>
        <v>5</v>
      </c>
      <c r="Z44" s="96">
        <f>H44/Setup!$E$13</f>
        <v>5</v>
      </c>
      <c r="AA44" s="96">
        <f>I44/Setup!$E$13</f>
        <v>5</v>
      </c>
      <c r="AB44" s="96">
        <f>J44/Setup!$E$13</f>
        <v>5</v>
      </c>
      <c r="AC44" s="96">
        <f>K44/Setup!$E$13</f>
        <v>5</v>
      </c>
      <c r="AD44" s="96">
        <f>L44/Setup!$E$13</f>
        <v>5</v>
      </c>
      <c r="AE44" s="96">
        <f>M44/Setup!$E$13</f>
        <v>5</v>
      </c>
      <c r="AF44" s="96">
        <f>N44/Setup!$E$13</f>
        <v>5</v>
      </c>
      <c r="AG44" s="96">
        <f>O44/Setup!$E$13</f>
        <v>5</v>
      </c>
      <c r="AH44" s="56">
        <f t="shared" si="43"/>
        <v>60</v>
      </c>
      <c r="AI44" s="56">
        <f t="shared" ref="AI44:AI46" si="46">iferror(average(V44:AG44),0)</f>
        <v>5</v>
      </c>
    </row>
    <row r="45" ht="19.5" customHeight="1" outlineLevel="1">
      <c r="A45" s="53"/>
      <c r="B45" s="54"/>
      <c r="C45" s="58" t="s">
        <v>53</v>
      </c>
      <c r="D45" s="55">
        <v>0.0</v>
      </c>
      <c r="E45" s="55">
        <v>0.0</v>
      </c>
      <c r="F45" s="55">
        <v>0.0</v>
      </c>
      <c r="G45" s="55">
        <v>0.0</v>
      </c>
      <c r="H45" s="55">
        <v>0.0</v>
      </c>
      <c r="I45" s="55">
        <v>0.0</v>
      </c>
      <c r="J45" s="55">
        <v>0.0</v>
      </c>
      <c r="K45" s="55">
        <v>0.0</v>
      </c>
      <c r="L45" s="55">
        <v>0.0</v>
      </c>
      <c r="M45" s="55">
        <v>0.0</v>
      </c>
      <c r="N45" s="55">
        <v>0.0</v>
      </c>
      <c r="O45" s="55">
        <v>0.0</v>
      </c>
      <c r="P45" s="56">
        <f t="shared" si="42"/>
        <v>0</v>
      </c>
      <c r="Q45" s="56">
        <f t="shared" si="44"/>
        <v>0</v>
      </c>
      <c r="R45" s="43"/>
      <c r="S45" s="53"/>
      <c r="T45" s="54"/>
      <c r="U45" s="37" t="str">
        <f t="shared" si="45"/>
        <v>Hardware - Contibution</v>
      </c>
      <c r="V45" s="96">
        <f>D45/Setup!$E$13</f>
        <v>0</v>
      </c>
      <c r="W45" s="96">
        <f>E45/Setup!$E$13</f>
        <v>0</v>
      </c>
      <c r="X45" s="96">
        <f>F45/Setup!$E$13</f>
        <v>0</v>
      </c>
      <c r="Y45" s="96">
        <f>G45/Setup!$E$13</f>
        <v>0</v>
      </c>
      <c r="Z45" s="96">
        <f>H45/Setup!$E$13</f>
        <v>0</v>
      </c>
      <c r="AA45" s="96">
        <f>I45/Setup!$E$13</f>
        <v>0</v>
      </c>
      <c r="AB45" s="96">
        <f>J45/Setup!$E$13</f>
        <v>0</v>
      </c>
      <c r="AC45" s="96">
        <f>K45/Setup!$E$13</f>
        <v>0</v>
      </c>
      <c r="AD45" s="96">
        <f>L45/Setup!$E$13</f>
        <v>0</v>
      </c>
      <c r="AE45" s="96">
        <f>M45/Setup!$E$13</f>
        <v>0</v>
      </c>
      <c r="AF45" s="96">
        <f>N45/Setup!$E$13</f>
        <v>0</v>
      </c>
      <c r="AG45" s="96">
        <f>O45/Setup!$E$13</f>
        <v>0</v>
      </c>
      <c r="AH45" s="56">
        <f t="shared" si="43"/>
        <v>0</v>
      </c>
      <c r="AI45" s="56">
        <f t="shared" si="46"/>
        <v>0</v>
      </c>
    </row>
    <row r="46" ht="19.5" customHeight="1" outlineLevel="1">
      <c r="A46" s="53"/>
      <c r="B46" s="54"/>
      <c r="C46" s="58" t="s">
        <v>54</v>
      </c>
      <c r="D46" s="55">
        <v>0.0</v>
      </c>
      <c r="E46" s="55">
        <v>0.0</v>
      </c>
      <c r="F46" s="55">
        <v>0.0</v>
      </c>
      <c r="G46" s="55">
        <v>0.0</v>
      </c>
      <c r="H46" s="55">
        <v>0.0</v>
      </c>
      <c r="I46" s="55">
        <v>0.0</v>
      </c>
      <c r="J46" s="55">
        <v>0.0</v>
      </c>
      <c r="K46" s="55">
        <v>0.0</v>
      </c>
      <c r="L46" s="55">
        <v>0.0</v>
      </c>
      <c r="M46" s="55">
        <v>0.0</v>
      </c>
      <c r="N46" s="55">
        <v>0.0</v>
      </c>
      <c r="O46" s="55">
        <v>0.0</v>
      </c>
      <c r="P46" s="56">
        <f t="shared" si="42"/>
        <v>0</v>
      </c>
      <c r="Q46" s="56">
        <f t="shared" si="44"/>
        <v>0</v>
      </c>
      <c r="R46" s="43"/>
      <c r="S46" s="53"/>
      <c r="T46" s="54"/>
      <c r="U46" s="37" t="str">
        <f t="shared" si="45"/>
        <v>Software - Contibution</v>
      </c>
      <c r="V46" s="96">
        <f>D46/Setup!$E$13</f>
        <v>0</v>
      </c>
      <c r="W46" s="96">
        <f>E46/Setup!$E$13</f>
        <v>0</v>
      </c>
      <c r="X46" s="96">
        <f>F46/Setup!$E$13</f>
        <v>0</v>
      </c>
      <c r="Y46" s="96">
        <f>G46/Setup!$E$13</f>
        <v>0</v>
      </c>
      <c r="Z46" s="96">
        <f>H46/Setup!$E$13</f>
        <v>0</v>
      </c>
      <c r="AA46" s="96">
        <f>I46/Setup!$E$13</f>
        <v>0</v>
      </c>
      <c r="AB46" s="96">
        <f>J46/Setup!$E$13</f>
        <v>0</v>
      </c>
      <c r="AC46" s="96">
        <f>K46/Setup!$E$13</f>
        <v>0</v>
      </c>
      <c r="AD46" s="96">
        <f>L46/Setup!$E$13</f>
        <v>0</v>
      </c>
      <c r="AE46" s="96">
        <f>M46/Setup!$E$13</f>
        <v>0</v>
      </c>
      <c r="AF46" s="96">
        <f>N46/Setup!$E$13</f>
        <v>0</v>
      </c>
      <c r="AG46" s="96">
        <f>O46/Setup!$E$13</f>
        <v>0</v>
      </c>
      <c r="AH46" s="56">
        <f t="shared" si="43"/>
        <v>0</v>
      </c>
      <c r="AI46" s="56">
        <f t="shared" si="46"/>
        <v>0</v>
      </c>
    </row>
    <row r="47" ht="19.5" customHeight="1">
      <c r="A47" s="53"/>
      <c r="B47" s="54"/>
      <c r="C47" s="58"/>
      <c r="D47" s="55"/>
      <c r="E47" s="55"/>
      <c r="F47" s="55"/>
      <c r="G47" s="55"/>
      <c r="H47" s="55"/>
      <c r="I47" s="55"/>
      <c r="J47" s="62"/>
      <c r="K47" s="62"/>
      <c r="L47" s="55"/>
      <c r="M47" s="55"/>
      <c r="N47" s="55"/>
      <c r="O47" s="55"/>
      <c r="P47" s="56"/>
      <c r="Q47" s="56"/>
      <c r="R47" s="43"/>
      <c r="S47" s="53"/>
      <c r="T47" s="54"/>
      <c r="U47" s="58"/>
      <c r="V47" s="55"/>
      <c r="W47" s="55"/>
      <c r="X47" s="55"/>
      <c r="Y47" s="55"/>
      <c r="Z47" s="55"/>
      <c r="AA47" s="55"/>
      <c r="AB47" s="62"/>
      <c r="AC47" s="62"/>
      <c r="AD47" s="55"/>
      <c r="AE47" s="55"/>
      <c r="AF47" s="55"/>
      <c r="AG47" s="55"/>
      <c r="AH47" s="56"/>
      <c r="AI47" s="56"/>
    </row>
    <row r="48" ht="19.5" hidden="1" customHeight="1">
      <c r="A48" s="68"/>
      <c r="B48" s="69"/>
      <c r="C48" s="58"/>
      <c r="D48" s="55"/>
      <c r="E48" s="55"/>
      <c r="F48" s="55"/>
      <c r="G48" s="55"/>
      <c r="H48" s="55"/>
      <c r="I48" s="55"/>
      <c r="J48" s="55"/>
      <c r="K48" s="55"/>
      <c r="L48" s="55"/>
      <c r="M48" s="55"/>
      <c r="N48" s="55"/>
      <c r="O48" s="55"/>
      <c r="P48" s="60"/>
      <c r="Q48" s="60"/>
      <c r="R48" s="43"/>
      <c r="S48" s="68"/>
      <c r="T48" s="69"/>
      <c r="U48" s="58"/>
      <c r="V48" s="55"/>
      <c r="W48" s="55"/>
      <c r="X48" s="55"/>
      <c r="Y48" s="55"/>
      <c r="Z48" s="55"/>
      <c r="AA48" s="55"/>
      <c r="AB48" s="55"/>
      <c r="AC48" s="55"/>
      <c r="AD48" s="55"/>
      <c r="AE48" s="55"/>
      <c r="AF48" s="55"/>
      <c r="AG48" s="55"/>
      <c r="AH48" s="60"/>
      <c r="AI48" s="60"/>
    </row>
    <row r="49" ht="24.0" customHeight="1">
      <c r="A49" s="28" t="s">
        <v>55</v>
      </c>
      <c r="B49" s="30"/>
      <c r="C49" s="32" t="s">
        <v>9</v>
      </c>
      <c r="D49" s="48">
        <f t="shared" ref="D49:O49" si="47">sum(D50:D53)</f>
        <v>95</v>
      </c>
      <c r="E49" s="48">
        <f t="shared" si="47"/>
        <v>90</v>
      </c>
      <c r="F49" s="48">
        <f t="shared" si="47"/>
        <v>90</v>
      </c>
      <c r="G49" s="48">
        <f t="shared" si="47"/>
        <v>90</v>
      </c>
      <c r="H49" s="48">
        <f t="shared" si="47"/>
        <v>95</v>
      </c>
      <c r="I49" s="48">
        <f t="shared" si="47"/>
        <v>90</v>
      </c>
      <c r="J49" s="48">
        <f t="shared" si="47"/>
        <v>90</v>
      </c>
      <c r="K49" s="48">
        <f t="shared" si="47"/>
        <v>90</v>
      </c>
      <c r="L49" s="48">
        <f t="shared" si="47"/>
        <v>95</v>
      </c>
      <c r="M49" s="48">
        <f t="shared" si="47"/>
        <v>90</v>
      </c>
      <c r="N49" s="48">
        <f t="shared" si="47"/>
        <v>90</v>
      </c>
      <c r="O49" s="48">
        <f t="shared" si="47"/>
        <v>90</v>
      </c>
      <c r="P49" s="49">
        <f t="shared" ref="P49:P53" si="49">sum(D49:O49)</f>
        <v>1095</v>
      </c>
      <c r="Q49" s="49">
        <f>iferror(average(D49:O49),"")</f>
        <v>91.25</v>
      </c>
      <c r="R49" s="51"/>
      <c r="S49" s="28" t="s">
        <v>55</v>
      </c>
      <c r="T49" s="30"/>
      <c r="U49" s="32" t="s">
        <v>9</v>
      </c>
      <c r="V49" s="48">
        <f t="shared" ref="V49:AG49" si="48">sum(V50:V53)</f>
        <v>47.5</v>
      </c>
      <c r="W49" s="48">
        <f t="shared" si="48"/>
        <v>45</v>
      </c>
      <c r="X49" s="48">
        <f t="shared" si="48"/>
        <v>45</v>
      </c>
      <c r="Y49" s="48">
        <f t="shared" si="48"/>
        <v>45</v>
      </c>
      <c r="Z49" s="48">
        <f t="shared" si="48"/>
        <v>47.5</v>
      </c>
      <c r="AA49" s="48">
        <f t="shared" si="48"/>
        <v>45</v>
      </c>
      <c r="AB49" s="48">
        <f t="shared" si="48"/>
        <v>45</v>
      </c>
      <c r="AC49" s="48">
        <f t="shared" si="48"/>
        <v>45</v>
      </c>
      <c r="AD49" s="48">
        <f t="shared" si="48"/>
        <v>47.5</v>
      </c>
      <c r="AE49" s="48">
        <f t="shared" si="48"/>
        <v>45</v>
      </c>
      <c r="AF49" s="48">
        <f t="shared" si="48"/>
        <v>45</v>
      </c>
      <c r="AG49" s="48">
        <f t="shared" si="48"/>
        <v>45</v>
      </c>
      <c r="AH49" s="49">
        <f t="shared" ref="AH49:AH53" si="50">sum(V49:AG49)</f>
        <v>547.5</v>
      </c>
      <c r="AI49" s="49">
        <f>iferror(average(V49:AG49),"")</f>
        <v>45.625</v>
      </c>
    </row>
    <row r="50" ht="19.5" customHeight="1" outlineLevel="1">
      <c r="A50" s="53"/>
      <c r="B50" s="54"/>
      <c r="C50" s="58" t="s">
        <v>58</v>
      </c>
      <c r="D50" s="55">
        <v>90.0</v>
      </c>
      <c r="E50" s="55">
        <v>90.0</v>
      </c>
      <c r="F50" s="55">
        <v>90.0</v>
      </c>
      <c r="G50" s="55">
        <v>90.0</v>
      </c>
      <c r="H50" s="55">
        <v>90.0</v>
      </c>
      <c r="I50" s="55">
        <v>90.0</v>
      </c>
      <c r="J50" s="55">
        <v>90.0</v>
      </c>
      <c r="K50" s="55">
        <v>90.0</v>
      </c>
      <c r="L50" s="55">
        <v>90.0</v>
      </c>
      <c r="M50" s="55">
        <v>90.0</v>
      </c>
      <c r="N50" s="55">
        <v>90.0</v>
      </c>
      <c r="O50" s="55">
        <v>90.0</v>
      </c>
      <c r="P50" s="56">
        <f t="shared" si="49"/>
        <v>1080</v>
      </c>
      <c r="Q50" s="56">
        <f t="shared" ref="Q50:Q53" si="51">iferror(average(D50:O50),0)</f>
        <v>90</v>
      </c>
      <c r="R50" s="43"/>
      <c r="S50" s="53"/>
      <c r="T50" s="54"/>
      <c r="U50" s="37" t="str">
        <f t="shared" ref="U50:U53" si="52">CONCATENATE(C50," - Contibution")</f>
        <v>Fuel - Contibution</v>
      </c>
      <c r="V50" s="96">
        <f>D50/Setup!$E$13</f>
        <v>45</v>
      </c>
      <c r="W50" s="96">
        <f>E50/Setup!$E$13</f>
        <v>45</v>
      </c>
      <c r="X50" s="96">
        <f>F50/Setup!$E$13</f>
        <v>45</v>
      </c>
      <c r="Y50" s="96">
        <f>G50/Setup!$E$13</f>
        <v>45</v>
      </c>
      <c r="Z50" s="96">
        <f>H50/Setup!$E$13</f>
        <v>45</v>
      </c>
      <c r="AA50" s="96">
        <f>I50/Setup!$E$13</f>
        <v>45</v>
      </c>
      <c r="AB50" s="96">
        <f>J50/Setup!$E$13</f>
        <v>45</v>
      </c>
      <c r="AC50" s="96">
        <f>K50/Setup!$E$13</f>
        <v>45</v>
      </c>
      <c r="AD50" s="96">
        <f>L50/Setup!$E$13</f>
        <v>45</v>
      </c>
      <c r="AE50" s="96">
        <f>M50/Setup!$E$13</f>
        <v>45</v>
      </c>
      <c r="AF50" s="96">
        <f>N50/Setup!$E$13</f>
        <v>45</v>
      </c>
      <c r="AG50" s="96">
        <f>O50/Setup!$E$13</f>
        <v>45</v>
      </c>
      <c r="AH50" s="56">
        <f t="shared" si="50"/>
        <v>540</v>
      </c>
      <c r="AI50" s="56">
        <f t="shared" ref="AI50:AI53" si="53">iferror(average(V50:AG50),0)</f>
        <v>45</v>
      </c>
    </row>
    <row r="51" ht="19.5" customHeight="1" outlineLevel="1">
      <c r="A51" s="53"/>
      <c r="B51" s="54"/>
      <c r="C51" s="58" t="s">
        <v>59</v>
      </c>
      <c r="D51" s="55">
        <v>0.0</v>
      </c>
      <c r="E51" s="55">
        <v>0.0</v>
      </c>
      <c r="F51" s="55">
        <v>0.0</v>
      </c>
      <c r="G51" s="55">
        <v>0.0</v>
      </c>
      <c r="H51" s="55">
        <v>0.0</v>
      </c>
      <c r="I51" s="55">
        <v>0.0</v>
      </c>
      <c r="J51" s="55">
        <v>0.0</v>
      </c>
      <c r="K51" s="55">
        <v>0.0</v>
      </c>
      <c r="L51" s="55">
        <v>0.0</v>
      </c>
      <c r="M51" s="55">
        <v>0.0</v>
      </c>
      <c r="N51" s="55">
        <v>0.0</v>
      </c>
      <c r="O51" s="55">
        <v>0.0</v>
      </c>
      <c r="P51" s="56">
        <f t="shared" si="49"/>
        <v>0</v>
      </c>
      <c r="Q51" s="56">
        <f t="shared" si="51"/>
        <v>0</v>
      </c>
      <c r="R51" s="43"/>
      <c r="S51" s="53"/>
      <c r="T51" s="54"/>
      <c r="U51" s="37" t="str">
        <f t="shared" si="52"/>
        <v>Repairs - Contibution</v>
      </c>
      <c r="V51" s="96">
        <f>D51/Setup!$E$13</f>
        <v>0</v>
      </c>
      <c r="W51" s="96">
        <f>E51/Setup!$E$13</f>
        <v>0</v>
      </c>
      <c r="X51" s="96">
        <f>F51/Setup!$E$13</f>
        <v>0</v>
      </c>
      <c r="Y51" s="96">
        <f>G51/Setup!$E$13</f>
        <v>0</v>
      </c>
      <c r="Z51" s="96">
        <f>H51/Setup!$E$13</f>
        <v>0</v>
      </c>
      <c r="AA51" s="96">
        <f>I51/Setup!$E$13</f>
        <v>0</v>
      </c>
      <c r="AB51" s="96">
        <f>J51/Setup!$E$13</f>
        <v>0</v>
      </c>
      <c r="AC51" s="96">
        <f>K51/Setup!$E$13</f>
        <v>0</v>
      </c>
      <c r="AD51" s="96">
        <f>L51/Setup!$E$13</f>
        <v>0</v>
      </c>
      <c r="AE51" s="96">
        <f>M51/Setup!$E$13</f>
        <v>0</v>
      </c>
      <c r="AF51" s="96">
        <f>N51/Setup!$E$13</f>
        <v>0</v>
      </c>
      <c r="AG51" s="96">
        <f>O51/Setup!$E$13</f>
        <v>0</v>
      </c>
      <c r="AH51" s="56">
        <f t="shared" si="50"/>
        <v>0</v>
      </c>
      <c r="AI51" s="56">
        <f t="shared" si="53"/>
        <v>0</v>
      </c>
    </row>
    <row r="52" ht="19.5" customHeight="1" outlineLevel="1">
      <c r="A52" s="53"/>
      <c r="B52" s="54"/>
      <c r="C52" s="58" t="s">
        <v>60</v>
      </c>
      <c r="D52" s="55">
        <v>0.0</v>
      </c>
      <c r="E52" s="55">
        <v>0.0</v>
      </c>
      <c r="F52" s="55">
        <v>0.0</v>
      </c>
      <c r="G52" s="55">
        <v>0.0</v>
      </c>
      <c r="H52" s="55">
        <v>0.0</v>
      </c>
      <c r="I52" s="55">
        <v>0.0</v>
      </c>
      <c r="J52" s="55">
        <v>0.0</v>
      </c>
      <c r="K52" s="55">
        <v>0.0</v>
      </c>
      <c r="L52" s="55">
        <v>0.0</v>
      </c>
      <c r="M52" s="55">
        <v>0.0</v>
      </c>
      <c r="N52" s="55">
        <v>0.0</v>
      </c>
      <c r="O52" s="55">
        <v>0.0</v>
      </c>
      <c r="P52" s="56">
        <f t="shared" si="49"/>
        <v>0</v>
      </c>
      <c r="Q52" s="56">
        <f t="shared" si="51"/>
        <v>0</v>
      </c>
      <c r="R52" s="43"/>
      <c r="S52" s="53"/>
      <c r="T52" s="54"/>
      <c r="U52" s="37" t="str">
        <f t="shared" si="52"/>
        <v>Registration/license - Contibution</v>
      </c>
      <c r="V52" s="96">
        <f>D52/Setup!$E$13</f>
        <v>0</v>
      </c>
      <c r="W52" s="96">
        <f>E52/Setup!$E$13</f>
        <v>0</v>
      </c>
      <c r="X52" s="96">
        <f>F52/Setup!$E$13</f>
        <v>0</v>
      </c>
      <c r="Y52" s="96">
        <f>G52/Setup!$E$13</f>
        <v>0</v>
      </c>
      <c r="Z52" s="96">
        <f>H52/Setup!$E$13</f>
        <v>0</v>
      </c>
      <c r="AA52" s="96">
        <f>I52/Setup!$E$13</f>
        <v>0</v>
      </c>
      <c r="AB52" s="96">
        <f>J52/Setup!$E$13</f>
        <v>0</v>
      </c>
      <c r="AC52" s="96">
        <f>K52/Setup!$E$13</f>
        <v>0</v>
      </c>
      <c r="AD52" s="96">
        <f>L52/Setup!$E$13</f>
        <v>0</v>
      </c>
      <c r="AE52" s="96">
        <f>M52/Setup!$E$13</f>
        <v>0</v>
      </c>
      <c r="AF52" s="96">
        <f>N52/Setup!$E$13</f>
        <v>0</v>
      </c>
      <c r="AG52" s="96">
        <f>O52/Setup!$E$13</f>
        <v>0</v>
      </c>
      <c r="AH52" s="56">
        <f t="shared" si="50"/>
        <v>0</v>
      </c>
      <c r="AI52" s="56">
        <f t="shared" si="53"/>
        <v>0</v>
      </c>
    </row>
    <row r="53" ht="19.5" customHeight="1" outlineLevel="1">
      <c r="A53" s="53"/>
      <c r="B53" s="54"/>
      <c r="C53" s="58" t="s">
        <v>37</v>
      </c>
      <c r="D53" s="55">
        <v>5.0</v>
      </c>
      <c r="E53" s="55">
        <v>0.0</v>
      </c>
      <c r="F53" s="55">
        <v>0.0</v>
      </c>
      <c r="G53" s="55">
        <v>0.0</v>
      </c>
      <c r="H53" s="55">
        <v>5.0</v>
      </c>
      <c r="I53" s="55">
        <v>0.0</v>
      </c>
      <c r="J53" s="55">
        <v>0.0</v>
      </c>
      <c r="K53" s="55">
        <v>0.0</v>
      </c>
      <c r="L53" s="55">
        <v>5.0</v>
      </c>
      <c r="M53" s="55">
        <v>0.0</v>
      </c>
      <c r="N53" s="55">
        <v>0.0</v>
      </c>
      <c r="O53" s="55">
        <v>0.0</v>
      </c>
      <c r="P53" s="56">
        <f t="shared" si="49"/>
        <v>15</v>
      </c>
      <c r="Q53" s="56">
        <f t="shared" si="51"/>
        <v>1.25</v>
      </c>
      <c r="R53" s="43"/>
      <c r="S53" s="53"/>
      <c r="T53" s="54"/>
      <c r="U53" s="37" t="str">
        <f t="shared" si="52"/>
        <v>Supplies - Contibution</v>
      </c>
      <c r="V53" s="96">
        <f>D53/Setup!$E$13</f>
        <v>2.5</v>
      </c>
      <c r="W53" s="96">
        <f>E53/Setup!$E$13</f>
        <v>0</v>
      </c>
      <c r="X53" s="96">
        <f>F53/Setup!$E$13</f>
        <v>0</v>
      </c>
      <c r="Y53" s="96">
        <f>G53/Setup!$E$13</f>
        <v>0</v>
      </c>
      <c r="Z53" s="96">
        <f>H53/Setup!$E$13</f>
        <v>2.5</v>
      </c>
      <c r="AA53" s="96">
        <f>I53/Setup!$E$13</f>
        <v>0</v>
      </c>
      <c r="AB53" s="96">
        <f>J53/Setup!$E$13</f>
        <v>0</v>
      </c>
      <c r="AC53" s="96">
        <f>K53/Setup!$E$13</f>
        <v>0</v>
      </c>
      <c r="AD53" s="96">
        <f>L53/Setup!$E$13</f>
        <v>2.5</v>
      </c>
      <c r="AE53" s="96">
        <f>M53/Setup!$E$13</f>
        <v>0</v>
      </c>
      <c r="AF53" s="96">
        <f>N53/Setup!$E$13</f>
        <v>0</v>
      </c>
      <c r="AG53" s="96">
        <f>O53/Setup!$E$13</f>
        <v>0</v>
      </c>
      <c r="AH53" s="56">
        <f t="shared" si="50"/>
        <v>7.5</v>
      </c>
      <c r="AI53" s="56">
        <f t="shared" si="53"/>
        <v>0.625</v>
      </c>
    </row>
    <row r="54" ht="19.5" customHeight="1">
      <c r="A54" s="53"/>
      <c r="B54" s="54"/>
      <c r="C54" s="58"/>
      <c r="D54" s="55"/>
      <c r="E54" s="55"/>
      <c r="F54" s="55"/>
      <c r="G54" s="55"/>
      <c r="H54" s="55"/>
      <c r="I54" s="55"/>
      <c r="J54" s="62"/>
      <c r="K54" s="62"/>
      <c r="L54" s="55"/>
      <c r="M54" s="55"/>
      <c r="N54" s="55"/>
      <c r="O54" s="55"/>
      <c r="P54" s="56"/>
      <c r="Q54" s="56"/>
      <c r="R54" s="43"/>
      <c r="S54" s="53"/>
      <c r="T54" s="54"/>
      <c r="U54" s="58"/>
      <c r="V54" s="55"/>
      <c r="W54" s="55"/>
      <c r="X54" s="55"/>
      <c r="Y54" s="55"/>
      <c r="Z54" s="55"/>
      <c r="AA54" s="55"/>
      <c r="AB54" s="62"/>
      <c r="AC54" s="62"/>
      <c r="AD54" s="55"/>
      <c r="AE54" s="55"/>
      <c r="AF54" s="55"/>
      <c r="AG54" s="55"/>
      <c r="AH54" s="56"/>
      <c r="AI54" s="56"/>
    </row>
    <row r="55" ht="19.5" hidden="1" customHeight="1">
      <c r="A55" s="63"/>
      <c r="B55" s="64"/>
      <c r="C55" s="58"/>
      <c r="D55" s="55"/>
      <c r="E55" s="55"/>
      <c r="F55" s="55"/>
      <c r="G55" s="55"/>
      <c r="H55" s="55"/>
      <c r="I55" s="55"/>
      <c r="J55" s="55"/>
      <c r="K55" s="55"/>
      <c r="L55" s="55"/>
      <c r="M55" s="55"/>
      <c r="N55" s="55"/>
      <c r="O55" s="55"/>
      <c r="P55" s="60"/>
      <c r="Q55" s="60"/>
      <c r="R55" s="43"/>
      <c r="S55" s="63"/>
      <c r="T55" s="64"/>
      <c r="U55" s="58"/>
      <c r="V55" s="55"/>
      <c r="W55" s="55"/>
      <c r="X55" s="55"/>
      <c r="Y55" s="55"/>
      <c r="Z55" s="55"/>
      <c r="AA55" s="55"/>
      <c r="AB55" s="55"/>
      <c r="AC55" s="55"/>
      <c r="AD55" s="55"/>
      <c r="AE55" s="55"/>
      <c r="AF55" s="55"/>
      <c r="AG55" s="55"/>
      <c r="AH55" s="60"/>
      <c r="AI55" s="60"/>
    </row>
    <row r="56" ht="24.0" customHeight="1">
      <c r="A56" s="28" t="s">
        <v>56</v>
      </c>
      <c r="B56" s="30"/>
      <c r="C56" s="32" t="s">
        <v>9</v>
      </c>
      <c r="D56" s="48">
        <f t="shared" ref="D56:O56" si="54">sum(D57:D65)</f>
        <v>158.37</v>
      </c>
      <c r="E56" s="48">
        <f t="shared" si="54"/>
        <v>158.37</v>
      </c>
      <c r="F56" s="48">
        <f t="shared" si="54"/>
        <v>223.37</v>
      </c>
      <c r="G56" s="48">
        <f t="shared" si="54"/>
        <v>158.37</v>
      </c>
      <c r="H56" s="48">
        <f t="shared" si="54"/>
        <v>223.37</v>
      </c>
      <c r="I56" s="48">
        <f t="shared" si="54"/>
        <v>223.37</v>
      </c>
      <c r="J56" s="48">
        <f t="shared" si="54"/>
        <v>223.37</v>
      </c>
      <c r="K56" s="48">
        <f t="shared" si="54"/>
        <v>223.37</v>
      </c>
      <c r="L56" s="48">
        <f t="shared" si="54"/>
        <v>223.37</v>
      </c>
      <c r="M56" s="48">
        <f t="shared" si="54"/>
        <v>223.37</v>
      </c>
      <c r="N56" s="48">
        <f t="shared" si="54"/>
        <v>158.37</v>
      </c>
      <c r="O56" s="48">
        <f t="shared" si="54"/>
        <v>158.37</v>
      </c>
      <c r="P56" s="49">
        <f t="shared" ref="P56:P63" si="56">sum(D56:O56)</f>
        <v>2355.44</v>
      </c>
      <c r="Q56" s="49">
        <f>iferror(average(D56:O56),"")</f>
        <v>196.2866667</v>
      </c>
      <c r="R56" s="51"/>
      <c r="S56" s="28" t="s">
        <v>56</v>
      </c>
      <c r="T56" s="30"/>
      <c r="U56" s="32" t="s">
        <v>9</v>
      </c>
      <c r="V56" s="48">
        <f t="shared" ref="V56:AG56" si="55">sum(V57:V65)</f>
        <v>79.185</v>
      </c>
      <c r="W56" s="48">
        <f t="shared" si="55"/>
        <v>79.185</v>
      </c>
      <c r="X56" s="48">
        <f t="shared" si="55"/>
        <v>111.685</v>
      </c>
      <c r="Y56" s="48">
        <f t="shared" si="55"/>
        <v>79.185</v>
      </c>
      <c r="Z56" s="48">
        <f t="shared" si="55"/>
        <v>111.685</v>
      </c>
      <c r="AA56" s="48">
        <f t="shared" si="55"/>
        <v>111.685</v>
      </c>
      <c r="AB56" s="48">
        <f t="shared" si="55"/>
        <v>111.685</v>
      </c>
      <c r="AC56" s="48">
        <f t="shared" si="55"/>
        <v>111.685</v>
      </c>
      <c r="AD56" s="48">
        <f t="shared" si="55"/>
        <v>111.685</v>
      </c>
      <c r="AE56" s="48">
        <f t="shared" si="55"/>
        <v>111.685</v>
      </c>
      <c r="AF56" s="48">
        <f t="shared" si="55"/>
        <v>79.185</v>
      </c>
      <c r="AG56" s="48">
        <f t="shared" si="55"/>
        <v>79.185</v>
      </c>
      <c r="AH56" s="49">
        <f t="shared" ref="AH56:AH63" si="57">sum(V56:AG56)</f>
        <v>1177.72</v>
      </c>
      <c r="AI56" s="49">
        <f>iferror(average(V56:AG56),"")</f>
        <v>98.14333333</v>
      </c>
    </row>
    <row r="57" ht="24.0" customHeight="1" outlineLevel="1">
      <c r="A57" s="53"/>
      <c r="B57" s="54"/>
      <c r="C57" s="37" t="s">
        <v>61</v>
      </c>
      <c r="D57" s="55">
        <v>7.0</v>
      </c>
      <c r="E57" s="55">
        <v>7.0</v>
      </c>
      <c r="F57" s="55">
        <v>7.0</v>
      </c>
      <c r="G57" s="55">
        <v>7.0</v>
      </c>
      <c r="H57" s="55">
        <v>7.0</v>
      </c>
      <c r="I57" s="55">
        <v>7.0</v>
      </c>
      <c r="J57" s="55">
        <v>7.0</v>
      </c>
      <c r="K57" s="55">
        <v>7.0</v>
      </c>
      <c r="L57" s="55">
        <v>7.0</v>
      </c>
      <c r="M57" s="55">
        <v>7.0</v>
      </c>
      <c r="N57" s="55">
        <v>7.0</v>
      </c>
      <c r="O57" s="55">
        <v>7.0</v>
      </c>
      <c r="P57" s="56">
        <f t="shared" si="56"/>
        <v>84</v>
      </c>
      <c r="Q57" s="56">
        <f t="shared" ref="Q57:Q63" si="58">iferror(average(D57:O57),0)</f>
        <v>7</v>
      </c>
      <c r="R57" s="43"/>
      <c r="S57" s="53"/>
      <c r="T57" s="54"/>
      <c r="U57" s="37" t="str">
        <f t="shared" ref="U57:U63" si="59">CONCATENATE(C57," - Contibution")</f>
        <v>Phone - Contibution</v>
      </c>
      <c r="V57" s="96">
        <f>D57/Setup!$E$13</f>
        <v>3.5</v>
      </c>
      <c r="W57" s="96">
        <f>E57/Setup!$E$13</f>
        <v>3.5</v>
      </c>
      <c r="X57" s="96">
        <f>F57/Setup!$E$13</f>
        <v>3.5</v>
      </c>
      <c r="Y57" s="96">
        <f>G57/Setup!$E$13</f>
        <v>3.5</v>
      </c>
      <c r="Z57" s="96">
        <f>H57/Setup!$E$13</f>
        <v>3.5</v>
      </c>
      <c r="AA57" s="96">
        <f>I57/Setup!$E$13</f>
        <v>3.5</v>
      </c>
      <c r="AB57" s="96">
        <f>J57/Setup!$E$13</f>
        <v>3.5</v>
      </c>
      <c r="AC57" s="96">
        <f>K57/Setup!$E$13</f>
        <v>3.5</v>
      </c>
      <c r="AD57" s="96">
        <f>L57/Setup!$E$13</f>
        <v>3.5</v>
      </c>
      <c r="AE57" s="96">
        <f>M57/Setup!$E$13</f>
        <v>3.5</v>
      </c>
      <c r="AF57" s="96">
        <f>N57/Setup!$E$13</f>
        <v>3.5</v>
      </c>
      <c r="AG57" s="96">
        <f>O57/Setup!$E$13</f>
        <v>3.5</v>
      </c>
      <c r="AH57" s="56">
        <f t="shared" si="57"/>
        <v>42</v>
      </c>
      <c r="AI57" s="56">
        <f t="shared" ref="AI57:AI63" si="60">iferror(average(V57:AG57),0)</f>
        <v>3.5</v>
      </c>
    </row>
    <row r="58" ht="24.0" customHeight="1" outlineLevel="1">
      <c r="A58" s="53"/>
      <c r="B58" s="54"/>
      <c r="C58" s="58" t="s">
        <v>62</v>
      </c>
      <c r="D58" s="55">
        <v>13.37</v>
      </c>
      <c r="E58" s="55">
        <v>13.37</v>
      </c>
      <c r="F58" s="55">
        <v>13.37</v>
      </c>
      <c r="G58" s="55">
        <v>13.37</v>
      </c>
      <c r="H58" s="55">
        <v>13.37</v>
      </c>
      <c r="I58" s="55">
        <v>13.37</v>
      </c>
      <c r="J58" s="55">
        <v>13.37</v>
      </c>
      <c r="K58" s="55">
        <v>13.37</v>
      </c>
      <c r="L58" s="55">
        <v>13.37</v>
      </c>
      <c r="M58" s="55">
        <v>13.37</v>
      </c>
      <c r="N58" s="55">
        <v>13.37</v>
      </c>
      <c r="O58" s="55">
        <v>13.37</v>
      </c>
      <c r="P58" s="56">
        <f t="shared" si="56"/>
        <v>160.44</v>
      </c>
      <c r="Q58" s="56">
        <f t="shared" si="58"/>
        <v>13.37</v>
      </c>
      <c r="R58" s="43"/>
      <c r="S58" s="53"/>
      <c r="T58" s="54"/>
      <c r="U58" s="37" t="str">
        <f t="shared" si="59"/>
        <v>TV - Contibution</v>
      </c>
      <c r="V58" s="96">
        <f>D58/Setup!$E$13</f>
        <v>6.685</v>
      </c>
      <c r="W58" s="96">
        <f>E58/Setup!$E$13</f>
        <v>6.685</v>
      </c>
      <c r="X58" s="96">
        <f>F58/Setup!$E$13</f>
        <v>6.685</v>
      </c>
      <c r="Y58" s="96">
        <f>G58/Setup!$E$13</f>
        <v>6.685</v>
      </c>
      <c r="Z58" s="96">
        <f>H58/Setup!$E$13</f>
        <v>6.685</v>
      </c>
      <c r="AA58" s="96">
        <f>I58/Setup!$E$13</f>
        <v>6.685</v>
      </c>
      <c r="AB58" s="96">
        <f>J58/Setup!$E$13</f>
        <v>6.685</v>
      </c>
      <c r="AC58" s="96">
        <f>K58/Setup!$E$13</f>
        <v>6.685</v>
      </c>
      <c r="AD58" s="96">
        <f>L58/Setup!$E$13</f>
        <v>6.685</v>
      </c>
      <c r="AE58" s="96">
        <f>M58/Setup!$E$13</f>
        <v>6.685</v>
      </c>
      <c r="AF58" s="96">
        <f>N58/Setup!$E$13</f>
        <v>6.685</v>
      </c>
      <c r="AG58" s="96">
        <f>O58/Setup!$E$13</f>
        <v>6.685</v>
      </c>
      <c r="AH58" s="56">
        <f t="shared" si="57"/>
        <v>80.22</v>
      </c>
      <c r="AI58" s="56">
        <f t="shared" si="60"/>
        <v>6.685</v>
      </c>
    </row>
    <row r="59" ht="24.0" customHeight="1" outlineLevel="1">
      <c r="A59" s="53"/>
      <c r="B59" s="54"/>
      <c r="C59" s="58" t="s">
        <v>63</v>
      </c>
      <c r="D59" s="55">
        <v>28.0</v>
      </c>
      <c r="E59" s="55">
        <v>28.0</v>
      </c>
      <c r="F59" s="55">
        <v>28.0</v>
      </c>
      <c r="G59" s="55">
        <v>28.0</v>
      </c>
      <c r="H59" s="55">
        <v>28.0</v>
      </c>
      <c r="I59" s="55">
        <v>28.0</v>
      </c>
      <c r="J59" s="55">
        <v>28.0</v>
      </c>
      <c r="K59" s="55">
        <v>28.0</v>
      </c>
      <c r="L59" s="55">
        <v>28.0</v>
      </c>
      <c r="M59" s="55">
        <v>28.0</v>
      </c>
      <c r="N59" s="55">
        <v>28.0</v>
      </c>
      <c r="O59" s="55">
        <v>28.0</v>
      </c>
      <c r="P59" s="56">
        <f t="shared" si="56"/>
        <v>336</v>
      </c>
      <c r="Q59" s="56">
        <f t="shared" si="58"/>
        <v>28</v>
      </c>
      <c r="R59" s="43"/>
      <c r="S59" s="53"/>
      <c r="T59" s="54"/>
      <c r="U59" s="37" t="str">
        <f t="shared" si="59"/>
        <v>Internet - Contibution</v>
      </c>
      <c r="V59" s="96">
        <f>D59/Setup!$E$13</f>
        <v>14</v>
      </c>
      <c r="W59" s="96">
        <f>E59/Setup!$E$13</f>
        <v>14</v>
      </c>
      <c r="X59" s="96">
        <f>F59/Setup!$E$13</f>
        <v>14</v>
      </c>
      <c r="Y59" s="96">
        <f>G59/Setup!$E$13</f>
        <v>14</v>
      </c>
      <c r="Z59" s="96">
        <f>H59/Setup!$E$13</f>
        <v>14</v>
      </c>
      <c r="AA59" s="96">
        <f>I59/Setup!$E$13</f>
        <v>14</v>
      </c>
      <c r="AB59" s="96">
        <f>J59/Setup!$E$13</f>
        <v>14</v>
      </c>
      <c r="AC59" s="96">
        <f>K59/Setup!$E$13</f>
        <v>14</v>
      </c>
      <c r="AD59" s="96">
        <f>L59/Setup!$E$13</f>
        <v>14</v>
      </c>
      <c r="AE59" s="96">
        <f>M59/Setup!$E$13</f>
        <v>14</v>
      </c>
      <c r="AF59" s="96">
        <f>N59/Setup!$E$13</f>
        <v>14</v>
      </c>
      <c r="AG59" s="96">
        <f>O59/Setup!$E$13</f>
        <v>14</v>
      </c>
      <c r="AH59" s="56">
        <f t="shared" si="57"/>
        <v>168</v>
      </c>
      <c r="AI59" s="56">
        <f t="shared" si="60"/>
        <v>14</v>
      </c>
    </row>
    <row r="60" ht="24.0" customHeight="1" outlineLevel="1">
      <c r="A60" s="53"/>
      <c r="B60" s="54"/>
      <c r="C60" s="58" t="s">
        <v>64</v>
      </c>
      <c r="D60" s="55">
        <v>50.0</v>
      </c>
      <c r="E60" s="55">
        <v>50.0</v>
      </c>
      <c r="F60" s="55">
        <v>50.0</v>
      </c>
      <c r="G60" s="55">
        <v>50.0</v>
      </c>
      <c r="H60" s="55">
        <v>50.0</v>
      </c>
      <c r="I60" s="55">
        <v>50.0</v>
      </c>
      <c r="J60" s="55">
        <v>50.0</v>
      </c>
      <c r="K60" s="55">
        <v>50.0</v>
      </c>
      <c r="L60" s="55">
        <v>50.0</v>
      </c>
      <c r="M60" s="55">
        <v>50.0</v>
      </c>
      <c r="N60" s="55">
        <v>50.0</v>
      </c>
      <c r="O60" s="55">
        <v>50.0</v>
      </c>
      <c r="P60" s="56">
        <f t="shared" si="56"/>
        <v>600</v>
      </c>
      <c r="Q60" s="56">
        <f t="shared" si="58"/>
        <v>50</v>
      </c>
      <c r="R60" s="43"/>
      <c r="S60" s="53"/>
      <c r="T60" s="54"/>
      <c r="U60" s="37" t="str">
        <f t="shared" si="59"/>
        <v>Electricity - Contibution</v>
      </c>
      <c r="V60" s="96">
        <f>D60/Setup!$E$13</f>
        <v>25</v>
      </c>
      <c r="W60" s="96">
        <f>E60/Setup!$E$13</f>
        <v>25</v>
      </c>
      <c r="X60" s="96">
        <f>F60/Setup!$E$13</f>
        <v>25</v>
      </c>
      <c r="Y60" s="96">
        <f>G60/Setup!$E$13</f>
        <v>25</v>
      </c>
      <c r="Z60" s="96">
        <f>H60/Setup!$E$13</f>
        <v>25</v>
      </c>
      <c r="AA60" s="96">
        <f>I60/Setup!$E$13</f>
        <v>25</v>
      </c>
      <c r="AB60" s="96">
        <f>J60/Setup!$E$13</f>
        <v>25</v>
      </c>
      <c r="AC60" s="96">
        <f>K60/Setup!$E$13</f>
        <v>25</v>
      </c>
      <c r="AD60" s="96">
        <f>L60/Setup!$E$13</f>
        <v>25</v>
      </c>
      <c r="AE60" s="96">
        <f>M60/Setup!$E$13</f>
        <v>25</v>
      </c>
      <c r="AF60" s="96">
        <f>N60/Setup!$E$13</f>
        <v>25</v>
      </c>
      <c r="AG60" s="96">
        <f>O60/Setup!$E$13</f>
        <v>25</v>
      </c>
      <c r="AH60" s="56">
        <f t="shared" si="57"/>
        <v>300</v>
      </c>
      <c r="AI60" s="56">
        <f t="shared" si="60"/>
        <v>25</v>
      </c>
    </row>
    <row r="61" ht="24.0" customHeight="1" outlineLevel="1">
      <c r="A61" s="53"/>
      <c r="B61" s="54"/>
      <c r="C61" s="37" t="s">
        <v>65</v>
      </c>
      <c r="D61" s="55">
        <v>40.0</v>
      </c>
      <c r="E61" s="55">
        <v>40.0</v>
      </c>
      <c r="F61" s="55">
        <v>40.0</v>
      </c>
      <c r="G61" s="55">
        <v>40.0</v>
      </c>
      <c r="H61" s="55">
        <v>40.0</v>
      </c>
      <c r="I61" s="55">
        <v>40.0</v>
      </c>
      <c r="J61" s="55">
        <v>40.0</v>
      </c>
      <c r="K61" s="55">
        <v>40.0</v>
      </c>
      <c r="L61" s="55">
        <v>40.0</v>
      </c>
      <c r="M61" s="55">
        <v>40.0</v>
      </c>
      <c r="N61" s="55">
        <v>40.0</v>
      </c>
      <c r="O61" s="55">
        <v>40.0</v>
      </c>
      <c r="P61" s="56">
        <f t="shared" si="56"/>
        <v>480</v>
      </c>
      <c r="Q61" s="56">
        <f t="shared" si="58"/>
        <v>40</v>
      </c>
      <c r="R61" s="43"/>
      <c r="S61" s="53"/>
      <c r="T61" s="54"/>
      <c r="U61" s="37" t="str">
        <f t="shared" si="59"/>
        <v>Gas - Contibution</v>
      </c>
      <c r="V61" s="96">
        <f>D61/Setup!$E$13</f>
        <v>20</v>
      </c>
      <c r="W61" s="96">
        <f>E61/Setup!$E$13</f>
        <v>20</v>
      </c>
      <c r="X61" s="96">
        <f>F61/Setup!$E$13</f>
        <v>20</v>
      </c>
      <c r="Y61" s="96">
        <f>G61/Setup!$E$13</f>
        <v>20</v>
      </c>
      <c r="Z61" s="96">
        <f>H61/Setup!$E$13</f>
        <v>20</v>
      </c>
      <c r="AA61" s="96">
        <f>I61/Setup!$E$13</f>
        <v>20</v>
      </c>
      <c r="AB61" s="96">
        <f>J61/Setup!$E$13</f>
        <v>20</v>
      </c>
      <c r="AC61" s="96">
        <f>K61/Setup!$E$13</f>
        <v>20</v>
      </c>
      <c r="AD61" s="96">
        <f>L61/Setup!$E$13</f>
        <v>20</v>
      </c>
      <c r="AE61" s="96">
        <f>M61/Setup!$E$13</f>
        <v>20</v>
      </c>
      <c r="AF61" s="96">
        <f>N61/Setup!$E$13</f>
        <v>20</v>
      </c>
      <c r="AG61" s="96">
        <f>O61/Setup!$E$13</f>
        <v>20</v>
      </c>
      <c r="AH61" s="56">
        <f t="shared" si="57"/>
        <v>240</v>
      </c>
      <c r="AI61" s="56">
        <f t="shared" si="60"/>
        <v>20</v>
      </c>
    </row>
    <row r="62" ht="24.0" customHeight="1" outlineLevel="1">
      <c r="A62" s="53"/>
      <c r="B62" s="54"/>
      <c r="C62" s="58" t="s">
        <v>66</v>
      </c>
      <c r="D62" s="55">
        <v>20.0</v>
      </c>
      <c r="E62" s="55">
        <v>20.0</v>
      </c>
      <c r="F62" s="55">
        <v>20.0</v>
      </c>
      <c r="G62" s="55">
        <v>20.0</v>
      </c>
      <c r="H62" s="55">
        <v>20.0</v>
      </c>
      <c r="I62" s="55">
        <v>20.0</v>
      </c>
      <c r="J62" s="55">
        <v>20.0</v>
      </c>
      <c r="K62" s="55">
        <v>20.0</v>
      </c>
      <c r="L62" s="55">
        <v>20.0</v>
      </c>
      <c r="M62" s="55">
        <v>20.0</v>
      </c>
      <c r="N62" s="55">
        <v>20.0</v>
      </c>
      <c r="O62" s="55">
        <v>20.0</v>
      </c>
      <c r="P62" s="56">
        <f t="shared" si="56"/>
        <v>240</v>
      </c>
      <c r="Q62" s="56">
        <f t="shared" si="58"/>
        <v>20</v>
      </c>
      <c r="R62" s="43"/>
      <c r="S62" s="53"/>
      <c r="T62" s="54"/>
      <c r="U62" s="37" t="str">
        <f t="shared" si="59"/>
        <v>Water - Contibution</v>
      </c>
      <c r="V62" s="96">
        <f>D62/Setup!$E$13</f>
        <v>10</v>
      </c>
      <c r="W62" s="96">
        <f>E62/Setup!$E$13</f>
        <v>10</v>
      </c>
      <c r="X62" s="96">
        <f>F62/Setup!$E$13</f>
        <v>10</v>
      </c>
      <c r="Y62" s="96">
        <f>G62/Setup!$E$13</f>
        <v>10</v>
      </c>
      <c r="Z62" s="96">
        <f>H62/Setup!$E$13</f>
        <v>10</v>
      </c>
      <c r="AA62" s="96">
        <f>I62/Setup!$E$13</f>
        <v>10</v>
      </c>
      <c r="AB62" s="96">
        <f>J62/Setup!$E$13</f>
        <v>10</v>
      </c>
      <c r="AC62" s="96">
        <f>K62/Setup!$E$13</f>
        <v>10</v>
      </c>
      <c r="AD62" s="96">
        <f>L62/Setup!$E$13</f>
        <v>10</v>
      </c>
      <c r="AE62" s="96">
        <f>M62/Setup!$E$13</f>
        <v>10</v>
      </c>
      <c r="AF62" s="96">
        <f>N62/Setup!$E$13</f>
        <v>10</v>
      </c>
      <c r="AG62" s="96">
        <f>O62/Setup!$E$13</f>
        <v>10</v>
      </c>
      <c r="AH62" s="56">
        <f t="shared" si="57"/>
        <v>120</v>
      </c>
      <c r="AI62" s="56">
        <f t="shared" si="60"/>
        <v>10</v>
      </c>
    </row>
    <row r="63" ht="24.0" customHeight="1" outlineLevel="1">
      <c r="A63" s="53"/>
      <c r="B63" s="54"/>
      <c r="C63" s="37" t="s">
        <v>67</v>
      </c>
      <c r="D63" s="55">
        <v>0.0</v>
      </c>
      <c r="E63" s="55">
        <v>0.0</v>
      </c>
      <c r="F63" s="55">
        <v>65.0</v>
      </c>
      <c r="G63" s="55">
        <v>0.0</v>
      </c>
      <c r="H63" s="55">
        <v>65.0</v>
      </c>
      <c r="I63" s="55">
        <v>65.0</v>
      </c>
      <c r="J63" s="55">
        <v>65.0</v>
      </c>
      <c r="K63" s="55">
        <v>65.0</v>
      </c>
      <c r="L63" s="55">
        <v>65.0</v>
      </c>
      <c r="M63" s="55">
        <v>65.0</v>
      </c>
      <c r="N63" s="55">
        <v>0.0</v>
      </c>
      <c r="O63" s="55">
        <v>0.0</v>
      </c>
      <c r="P63" s="56">
        <f t="shared" si="56"/>
        <v>455</v>
      </c>
      <c r="Q63" s="56">
        <f t="shared" si="58"/>
        <v>37.91666667</v>
      </c>
      <c r="R63" s="43"/>
      <c r="S63" s="53"/>
      <c r="T63" s="54"/>
      <c r="U63" s="37" t="str">
        <f t="shared" si="59"/>
        <v>Coal - Contibution</v>
      </c>
      <c r="V63" s="96">
        <f>D63/Setup!$E$13</f>
        <v>0</v>
      </c>
      <c r="W63" s="96">
        <f>E63/Setup!$E$13</f>
        <v>0</v>
      </c>
      <c r="X63" s="96">
        <f>F63/Setup!$E$13</f>
        <v>32.5</v>
      </c>
      <c r="Y63" s="96">
        <f>G63/Setup!$E$13</f>
        <v>0</v>
      </c>
      <c r="Z63" s="96">
        <f>H63/Setup!$E$13</f>
        <v>32.5</v>
      </c>
      <c r="AA63" s="96">
        <f>I63/Setup!$E$13</f>
        <v>32.5</v>
      </c>
      <c r="AB63" s="96">
        <f>J63/Setup!$E$13</f>
        <v>32.5</v>
      </c>
      <c r="AC63" s="96">
        <f>K63/Setup!$E$13</f>
        <v>32.5</v>
      </c>
      <c r="AD63" s="96">
        <f>L63/Setup!$E$13</f>
        <v>32.5</v>
      </c>
      <c r="AE63" s="96">
        <f>M63/Setup!$E$13</f>
        <v>32.5</v>
      </c>
      <c r="AF63" s="96">
        <f>N63/Setup!$E$13</f>
        <v>0</v>
      </c>
      <c r="AG63" s="96">
        <f>O63/Setup!$E$13</f>
        <v>0</v>
      </c>
      <c r="AH63" s="56">
        <f t="shared" si="57"/>
        <v>227.5</v>
      </c>
      <c r="AI63" s="56">
        <f t="shared" si="60"/>
        <v>18.95833333</v>
      </c>
    </row>
    <row r="64" ht="19.5" customHeight="1">
      <c r="A64" s="53"/>
      <c r="B64" s="54"/>
      <c r="C64" s="58"/>
      <c r="D64" s="55"/>
      <c r="E64" s="55"/>
      <c r="F64" s="55"/>
      <c r="G64" s="55"/>
      <c r="H64" s="55"/>
      <c r="I64" s="55"/>
      <c r="J64" s="62"/>
      <c r="K64" s="62"/>
      <c r="L64" s="55"/>
      <c r="M64" s="55"/>
      <c r="N64" s="55"/>
      <c r="O64" s="55"/>
      <c r="P64" s="56"/>
      <c r="Q64" s="56"/>
      <c r="R64" s="43"/>
      <c r="S64" s="53"/>
      <c r="T64" s="54"/>
      <c r="U64" s="58"/>
      <c r="V64" s="55"/>
      <c r="W64" s="55"/>
      <c r="X64" s="55"/>
      <c r="Y64" s="55"/>
      <c r="Z64" s="55"/>
      <c r="AA64" s="55"/>
      <c r="AB64" s="62"/>
      <c r="AC64" s="62"/>
      <c r="AD64" s="55"/>
      <c r="AE64" s="55"/>
      <c r="AF64" s="55"/>
      <c r="AG64" s="55"/>
      <c r="AH64" s="56"/>
      <c r="AI64" s="56"/>
    </row>
    <row r="65" ht="19.5" hidden="1" customHeight="1">
      <c r="A65" s="63"/>
      <c r="B65" s="64"/>
      <c r="C65" s="58"/>
      <c r="D65" s="55"/>
      <c r="E65" s="55"/>
      <c r="F65" s="55"/>
      <c r="G65" s="55"/>
      <c r="H65" s="55"/>
      <c r="I65" s="55"/>
      <c r="J65" s="55"/>
      <c r="K65" s="55"/>
      <c r="L65" s="55"/>
      <c r="M65" s="55"/>
      <c r="N65" s="55"/>
      <c r="O65" s="55"/>
      <c r="P65" s="60"/>
      <c r="Q65" s="60"/>
      <c r="R65" s="43"/>
      <c r="S65" s="63"/>
      <c r="T65" s="64"/>
      <c r="U65" s="58"/>
      <c r="V65" s="55"/>
      <c r="W65" s="55"/>
      <c r="X65" s="55"/>
      <c r="Y65" s="55"/>
      <c r="Z65" s="55"/>
      <c r="AA65" s="55"/>
      <c r="AB65" s="55"/>
      <c r="AC65" s="55"/>
      <c r="AD65" s="55"/>
      <c r="AE65" s="55"/>
      <c r="AF65" s="55"/>
      <c r="AG65" s="55"/>
      <c r="AH65" s="60"/>
      <c r="AI65" s="60"/>
    </row>
    <row r="66" ht="24.0" customHeight="1">
      <c r="A66" s="28" t="s">
        <v>23</v>
      </c>
      <c r="B66" s="30"/>
      <c r="C66" s="32" t="s">
        <v>9</v>
      </c>
      <c r="D66" s="48">
        <f t="shared" ref="D66:O66" si="61">sum(D67:D70)</f>
        <v>0</v>
      </c>
      <c r="E66" s="48">
        <f t="shared" si="61"/>
        <v>0</v>
      </c>
      <c r="F66" s="48">
        <f t="shared" si="61"/>
        <v>0</v>
      </c>
      <c r="G66" s="48">
        <f t="shared" si="61"/>
        <v>0</v>
      </c>
      <c r="H66" s="48">
        <f t="shared" si="61"/>
        <v>0</v>
      </c>
      <c r="I66" s="48">
        <f t="shared" si="61"/>
        <v>0</v>
      </c>
      <c r="J66" s="48">
        <f t="shared" si="61"/>
        <v>0</v>
      </c>
      <c r="K66" s="48">
        <f t="shared" si="61"/>
        <v>0</v>
      </c>
      <c r="L66" s="48">
        <f t="shared" si="61"/>
        <v>0</v>
      </c>
      <c r="M66" s="48">
        <f t="shared" si="61"/>
        <v>0</v>
      </c>
      <c r="N66" s="48">
        <f t="shared" si="61"/>
        <v>0</v>
      </c>
      <c r="O66" s="48">
        <f t="shared" si="61"/>
        <v>0</v>
      </c>
      <c r="P66" s="49">
        <f t="shared" ref="P66:P68" si="63">sum(D66:O66)</f>
        <v>0</v>
      </c>
      <c r="Q66" s="49">
        <f>iferror(average(D66:O66),"")</f>
        <v>0</v>
      </c>
      <c r="R66" s="51"/>
      <c r="S66" s="28" t="s">
        <v>23</v>
      </c>
      <c r="T66" s="30"/>
      <c r="U66" s="32" t="s">
        <v>9</v>
      </c>
      <c r="V66" s="48">
        <f t="shared" ref="V66:AH66" si="62">sum(V67:V68)</f>
        <v>0</v>
      </c>
      <c r="W66" s="48">
        <f t="shared" si="62"/>
        <v>0</v>
      </c>
      <c r="X66" s="48">
        <f t="shared" si="62"/>
        <v>0</v>
      </c>
      <c r="Y66" s="48">
        <f t="shared" si="62"/>
        <v>0</v>
      </c>
      <c r="Z66" s="48">
        <f t="shared" si="62"/>
        <v>0</v>
      </c>
      <c r="AA66" s="48">
        <f t="shared" si="62"/>
        <v>0</v>
      </c>
      <c r="AB66" s="48">
        <f t="shared" si="62"/>
        <v>0</v>
      </c>
      <c r="AC66" s="48">
        <f t="shared" si="62"/>
        <v>0</v>
      </c>
      <c r="AD66" s="48">
        <f t="shared" si="62"/>
        <v>0</v>
      </c>
      <c r="AE66" s="48">
        <f t="shared" si="62"/>
        <v>0</v>
      </c>
      <c r="AF66" s="48">
        <f t="shared" si="62"/>
        <v>0</v>
      </c>
      <c r="AG66" s="48">
        <f t="shared" si="62"/>
        <v>0</v>
      </c>
      <c r="AH66" s="48">
        <f t="shared" si="62"/>
        <v>0</v>
      </c>
      <c r="AI66" s="49">
        <f>iferror(average(V66:AG66),"")</f>
        <v>0</v>
      </c>
    </row>
    <row r="67" ht="19.5" customHeight="1" outlineLevel="1">
      <c r="A67" s="53"/>
      <c r="B67" s="54"/>
      <c r="C67" s="58" t="s">
        <v>68</v>
      </c>
      <c r="D67" s="55">
        <v>0.0</v>
      </c>
      <c r="E67" s="55">
        <v>0.0</v>
      </c>
      <c r="F67" s="55">
        <v>0.0</v>
      </c>
      <c r="G67" s="55">
        <v>0.0</v>
      </c>
      <c r="H67" s="55">
        <v>0.0</v>
      </c>
      <c r="I67" s="55">
        <v>0.0</v>
      </c>
      <c r="J67" s="55">
        <v>0.0</v>
      </c>
      <c r="K67" s="55">
        <v>0.0</v>
      </c>
      <c r="L67" s="55">
        <v>0.0</v>
      </c>
      <c r="M67" s="55">
        <v>0.0</v>
      </c>
      <c r="N67" s="55">
        <v>0.0</v>
      </c>
      <c r="O67" s="55">
        <v>0.0</v>
      </c>
      <c r="P67" s="56">
        <f t="shared" si="63"/>
        <v>0</v>
      </c>
      <c r="Q67" s="56">
        <f t="shared" ref="Q67:Q68" si="64">iferror(average(D67:O67),0)</f>
        <v>0</v>
      </c>
      <c r="R67" s="43"/>
      <c r="S67" s="53"/>
      <c r="T67" s="54"/>
      <c r="U67" s="37" t="str">
        <f t="shared" ref="U67:U68" si="65">CONCATENATE(C67," - Contibution")</f>
        <v>[Category 1] - Contibution</v>
      </c>
      <c r="V67" s="96">
        <f>D67/Setup!$E$13</f>
        <v>0</v>
      </c>
      <c r="W67" s="96">
        <f>E67/Setup!$E$13</f>
        <v>0</v>
      </c>
      <c r="X67" s="96">
        <f>F67/Setup!$E$13</f>
        <v>0</v>
      </c>
      <c r="Y67" s="96">
        <f>G67/Setup!$E$13</f>
        <v>0</v>
      </c>
      <c r="Z67" s="96">
        <f>H67/Setup!$E$13</f>
        <v>0</v>
      </c>
      <c r="AA67" s="96">
        <f>I67/Setup!$E$13</f>
        <v>0</v>
      </c>
      <c r="AB67" s="96">
        <f>J67/Setup!$E$13</f>
        <v>0</v>
      </c>
      <c r="AC67" s="96">
        <f>K67/Setup!$E$13</f>
        <v>0</v>
      </c>
      <c r="AD67" s="96">
        <f>L67/Setup!$E$13</f>
        <v>0</v>
      </c>
      <c r="AE67" s="96">
        <f>M67/Setup!$E$13</f>
        <v>0</v>
      </c>
      <c r="AF67" s="96">
        <f>N67/Setup!$E$13</f>
        <v>0</v>
      </c>
      <c r="AG67" s="96">
        <f>O67/Setup!$E$13</f>
        <v>0</v>
      </c>
      <c r="AH67" s="56">
        <f t="shared" ref="AH67:AH68" si="66">sum(V67:AG67)</f>
        <v>0</v>
      </c>
      <c r="AI67" s="56">
        <f t="shared" ref="AI67:AI68" si="67">iferror(average(V67:AG67),0)</f>
        <v>0</v>
      </c>
    </row>
    <row r="68" ht="19.5" customHeight="1" outlineLevel="1">
      <c r="A68" s="53"/>
      <c r="B68" s="54"/>
      <c r="C68" s="58" t="s">
        <v>69</v>
      </c>
      <c r="D68" s="55">
        <v>0.0</v>
      </c>
      <c r="E68" s="55">
        <v>0.0</v>
      </c>
      <c r="F68" s="55">
        <v>0.0</v>
      </c>
      <c r="G68" s="55">
        <v>0.0</v>
      </c>
      <c r="H68" s="55">
        <v>0.0</v>
      </c>
      <c r="I68" s="55">
        <v>0.0</v>
      </c>
      <c r="J68" s="55">
        <v>0.0</v>
      </c>
      <c r="K68" s="55">
        <v>0.0</v>
      </c>
      <c r="L68" s="55">
        <v>0.0</v>
      </c>
      <c r="M68" s="55">
        <v>0.0</v>
      </c>
      <c r="N68" s="55">
        <v>0.0</v>
      </c>
      <c r="O68" s="55">
        <v>0.0</v>
      </c>
      <c r="P68" s="56">
        <f t="shared" si="63"/>
        <v>0</v>
      </c>
      <c r="Q68" s="56">
        <f t="shared" si="64"/>
        <v>0</v>
      </c>
      <c r="R68" s="43"/>
      <c r="S68" s="53"/>
      <c r="T68" s="54"/>
      <c r="U68" s="37" t="str">
        <f t="shared" si="65"/>
        <v>[Category 2] - Contibution</v>
      </c>
      <c r="V68" s="96">
        <f>D68/Setup!$E$13</f>
        <v>0</v>
      </c>
      <c r="W68" s="96">
        <f>E68/Setup!$E$13</f>
        <v>0</v>
      </c>
      <c r="X68" s="96">
        <f>F68/Setup!$E$13</f>
        <v>0</v>
      </c>
      <c r="Y68" s="96">
        <f>G68/Setup!$E$13</f>
        <v>0</v>
      </c>
      <c r="Z68" s="96">
        <f>H68/Setup!$E$13</f>
        <v>0</v>
      </c>
      <c r="AA68" s="96">
        <f>I68/Setup!$E$13</f>
        <v>0</v>
      </c>
      <c r="AB68" s="96">
        <f>J68/Setup!$E$13</f>
        <v>0</v>
      </c>
      <c r="AC68" s="96">
        <f>K68/Setup!$E$13</f>
        <v>0</v>
      </c>
      <c r="AD68" s="96">
        <f>L68/Setup!$E$13</f>
        <v>0</v>
      </c>
      <c r="AE68" s="96">
        <f>M68/Setup!$E$13</f>
        <v>0</v>
      </c>
      <c r="AF68" s="96">
        <f>N68/Setup!$E$13</f>
        <v>0</v>
      </c>
      <c r="AG68" s="96">
        <f>O68/Setup!$E$13</f>
        <v>0</v>
      </c>
      <c r="AH68" s="56">
        <f t="shared" si="66"/>
        <v>0</v>
      </c>
      <c r="AI68" s="56">
        <f t="shared" si="67"/>
        <v>0</v>
      </c>
    </row>
    <row r="69" ht="19.5" customHeight="1">
      <c r="A69" s="53"/>
      <c r="B69" s="54"/>
      <c r="C69" s="58"/>
      <c r="D69" s="38"/>
      <c r="E69" s="38"/>
      <c r="F69" s="38"/>
      <c r="G69" s="38"/>
      <c r="H69" s="38"/>
      <c r="I69" s="38"/>
      <c r="J69" s="67"/>
      <c r="K69" s="67"/>
      <c r="L69" s="38"/>
      <c r="M69" s="38"/>
      <c r="N69" s="38"/>
      <c r="O69" s="38"/>
      <c r="P69" s="66"/>
      <c r="Q69" s="66"/>
      <c r="R69" s="43"/>
      <c r="S69" s="53"/>
      <c r="T69" s="54"/>
      <c r="U69" s="37" t="s">
        <v>70</v>
      </c>
      <c r="V69" s="38">
        <f t="shared" ref="V69:AG69" si="68">V4+V9+V17+V22+V31+V36+V43+V49+V56+V66</f>
        <v>693.98</v>
      </c>
      <c r="W69" s="38">
        <f t="shared" si="68"/>
        <v>691.48</v>
      </c>
      <c r="X69" s="38">
        <f t="shared" si="68"/>
        <v>723.98</v>
      </c>
      <c r="Y69" s="38">
        <f t="shared" si="68"/>
        <v>691.48</v>
      </c>
      <c r="Z69" s="38">
        <f t="shared" si="68"/>
        <v>726.48</v>
      </c>
      <c r="AA69" s="38">
        <f t="shared" si="68"/>
        <v>723.98</v>
      </c>
      <c r="AB69" s="38">
        <f t="shared" si="68"/>
        <v>723.98</v>
      </c>
      <c r="AC69" s="38">
        <f t="shared" si="68"/>
        <v>723.98</v>
      </c>
      <c r="AD69" s="38">
        <f t="shared" si="68"/>
        <v>726.48</v>
      </c>
      <c r="AE69" s="38">
        <f t="shared" si="68"/>
        <v>723.98</v>
      </c>
      <c r="AF69" s="38">
        <f t="shared" si="68"/>
        <v>691.48</v>
      </c>
      <c r="AG69" s="38">
        <f t="shared" si="68"/>
        <v>691.48</v>
      </c>
      <c r="AH69" s="38"/>
      <c r="AI69" s="66"/>
    </row>
    <row r="70" ht="19.5" hidden="1" customHeight="1">
      <c r="A70" s="68"/>
      <c r="B70" s="69"/>
      <c r="C70" s="164"/>
      <c r="D70" s="165"/>
      <c r="E70" s="165"/>
      <c r="F70" s="165"/>
      <c r="G70" s="165"/>
      <c r="H70" s="165"/>
      <c r="I70" s="165"/>
      <c r="J70" s="165"/>
      <c r="K70" s="165"/>
      <c r="L70" s="165"/>
      <c r="M70" s="165"/>
      <c r="N70" s="165"/>
      <c r="O70" s="165"/>
      <c r="P70" s="166"/>
      <c r="Q70" s="166"/>
      <c r="R70" s="43"/>
      <c r="S70" s="166"/>
      <c r="T70" s="166"/>
      <c r="U70" s="166"/>
      <c r="V70" s="166"/>
      <c r="W70" s="166"/>
      <c r="X70" s="166"/>
      <c r="Y70" s="166"/>
      <c r="Z70" s="166"/>
      <c r="AA70" s="166"/>
      <c r="AB70" s="166"/>
      <c r="AC70" s="166"/>
      <c r="AD70" s="166"/>
      <c r="AE70" s="166"/>
      <c r="AF70" s="166"/>
      <c r="AG70" s="166"/>
      <c r="AH70" s="166"/>
      <c r="AI70" s="16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 outlineLevelCol="1" outlineLevelRow="1"/>
  <cols>
    <col customWidth="1" min="1" max="1" width="14.38"/>
    <col customWidth="1" min="2" max="2" width="2.0"/>
    <col customWidth="1" min="3" max="3" width="19.0"/>
    <col customWidth="1" min="4" max="4" width="7.38" outlineLevel="1"/>
    <col customWidth="1" min="5" max="15" width="7.63" outlineLevel="1"/>
    <col customWidth="1" min="16" max="16" width="11.13"/>
    <col customWidth="1" min="17" max="17" width="8.13"/>
    <col customWidth="1" min="18" max="18" width="8.88"/>
  </cols>
  <sheetData>
    <row r="1" ht="6.0" customHeight="1">
      <c r="A1" s="2"/>
      <c r="B1" s="2"/>
      <c r="C1" s="4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8"/>
      <c r="Q1" s="10"/>
      <c r="R1" s="10"/>
    </row>
    <row r="2" ht="38.25" customHeight="1">
      <c r="A2" s="13"/>
      <c r="B2" s="13"/>
      <c r="C2" s="15" t="s">
        <v>1</v>
      </c>
      <c r="D2" s="17">
        <v>42522.0</v>
      </c>
      <c r="E2" s="17">
        <v>42552.0</v>
      </c>
      <c r="F2" s="17">
        <v>42583.0</v>
      </c>
      <c r="G2" s="17">
        <v>42614.0</v>
      </c>
      <c r="H2" s="17">
        <v>42644.0</v>
      </c>
      <c r="I2" s="17">
        <v>42675.0</v>
      </c>
      <c r="J2" s="17">
        <v>42705.0</v>
      </c>
      <c r="K2" s="17">
        <v>42370.0</v>
      </c>
      <c r="L2" s="17">
        <v>42401.0</v>
      </c>
      <c r="M2" s="17">
        <v>42430.0</v>
      </c>
      <c r="N2" s="17">
        <v>42461.0</v>
      </c>
      <c r="O2" s="17">
        <v>42491.0</v>
      </c>
      <c r="P2" s="22" t="s">
        <v>3</v>
      </c>
      <c r="Q2" s="24" t="s">
        <v>5</v>
      </c>
      <c r="R2" s="24"/>
    </row>
    <row r="3" ht="24.0" customHeight="1">
      <c r="A3" s="28" t="s">
        <v>6</v>
      </c>
      <c r="B3" s="30"/>
      <c r="C3" s="32" t="s">
        <v>9</v>
      </c>
      <c r="D3" s="47">
        <f t="shared" ref="D3:O3" si="1">sum(D4:D9)</f>
        <v>1547.96</v>
      </c>
      <c r="E3" s="47">
        <f t="shared" si="1"/>
        <v>1659.552</v>
      </c>
      <c r="F3" s="47">
        <f t="shared" si="1"/>
        <v>1737.552</v>
      </c>
      <c r="G3" s="47">
        <f t="shared" si="1"/>
        <v>1659.552</v>
      </c>
      <c r="H3" s="47">
        <f t="shared" si="1"/>
        <v>1743.552</v>
      </c>
      <c r="I3" s="47">
        <f t="shared" si="1"/>
        <v>1737.552</v>
      </c>
      <c r="J3" s="47">
        <f t="shared" si="1"/>
        <v>1737.552</v>
      </c>
      <c r="K3" s="47">
        <f t="shared" si="1"/>
        <v>1737.552</v>
      </c>
      <c r="L3" s="47">
        <f t="shared" si="1"/>
        <v>1743.552</v>
      </c>
      <c r="M3" s="47">
        <f t="shared" si="1"/>
        <v>1737.552</v>
      </c>
      <c r="N3" s="47">
        <f t="shared" si="1"/>
        <v>1659.552</v>
      </c>
      <c r="O3" s="47">
        <f t="shared" si="1"/>
        <v>1659.552</v>
      </c>
      <c r="P3" s="50">
        <f t="shared" ref="P3:P7" si="2">sum(D3:O3)</f>
        <v>20361.032</v>
      </c>
      <c r="Q3" s="50">
        <f>iferror(average(D3:O3),"")</f>
        <v>1696.752667</v>
      </c>
      <c r="R3" s="51"/>
    </row>
    <row r="4" ht="19.5" customHeight="1" outlineLevel="1">
      <c r="A4" s="35"/>
      <c r="B4" s="36"/>
      <c r="C4" s="37" t="s">
        <v>19</v>
      </c>
      <c r="D4" s="52">
        <f>Expenses!V$69</f>
        <v>693.98</v>
      </c>
      <c r="E4" s="52">
        <f>Expenses!W$69</f>
        <v>691.48</v>
      </c>
      <c r="F4" s="52">
        <f>Expenses!X$69</f>
        <v>723.98</v>
      </c>
      <c r="G4" s="52">
        <f>Expenses!Y$69</f>
        <v>691.48</v>
      </c>
      <c r="H4" s="52">
        <f>Expenses!Z$69</f>
        <v>726.48</v>
      </c>
      <c r="I4" s="52">
        <f>Expenses!AA$69</f>
        <v>723.98</v>
      </c>
      <c r="J4" s="52">
        <f>Expenses!AB$69</f>
        <v>723.98</v>
      </c>
      <c r="K4" s="52">
        <f>Expenses!AC$69</f>
        <v>723.98</v>
      </c>
      <c r="L4" s="52">
        <f>Expenses!AD$69</f>
        <v>726.48</v>
      </c>
      <c r="M4" s="52">
        <f>Expenses!AE$69</f>
        <v>723.98</v>
      </c>
      <c r="N4" s="52">
        <f>Expenses!AF$69</f>
        <v>691.48</v>
      </c>
      <c r="O4" s="52">
        <f>Expenses!AG$69</f>
        <v>691.48</v>
      </c>
      <c r="P4" s="57">
        <f t="shared" si="2"/>
        <v>8532.76</v>
      </c>
      <c r="Q4" s="57">
        <f t="shared" ref="Q4:Q7" si="3">iferror(average(D4:O4),0)</f>
        <v>711.0633333</v>
      </c>
      <c r="R4" s="43"/>
    </row>
    <row r="5" ht="19.5" customHeight="1" outlineLevel="1">
      <c r="A5" s="35"/>
      <c r="B5" s="36"/>
      <c r="C5" s="37" t="s">
        <v>21</v>
      </c>
      <c r="D5" s="52">
        <f>Expenses!V$69</f>
        <v>693.98</v>
      </c>
      <c r="E5" s="52">
        <f>Expenses!W$69</f>
        <v>691.48</v>
      </c>
      <c r="F5" s="52">
        <f>Expenses!X$69</f>
        <v>723.98</v>
      </c>
      <c r="G5" s="52">
        <f>Expenses!Y$69</f>
        <v>691.48</v>
      </c>
      <c r="H5" s="52">
        <f>Expenses!Z$69</f>
        <v>726.48</v>
      </c>
      <c r="I5" s="52">
        <f>Expenses!AA$69</f>
        <v>723.98</v>
      </c>
      <c r="J5" s="52">
        <f>Expenses!AB$69</f>
        <v>723.98</v>
      </c>
      <c r="K5" s="52">
        <f>Expenses!AC$69</f>
        <v>723.98</v>
      </c>
      <c r="L5" s="52">
        <f>Expenses!AD$69</f>
        <v>726.48</v>
      </c>
      <c r="M5" s="52">
        <f>Expenses!AE$69</f>
        <v>723.98</v>
      </c>
      <c r="N5" s="52">
        <f>Expenses!AF$69</f>
        <v>691.48</v>
      </c>
      <c r="O5" s="52">
        <f>Expenses!AG$69</f>
        <v>691.48</v>
      </c>
      <c r="P5" s="57">
        <f t="shared" si="2"/>
        <v>8532.76</v>
      </c>
      <c r="Q5" s="57">
        <f t="shared" si="3"/>
        <v>711.0633333</v>
      </c>
      <c r="R5" s="43"/>
    </row>
    <row r="6" ht="19.5" customHeight="1" outlineLevel="1">
      <c r="A6" s="35"/>
      <c r="B6" s="36"/>
      <c r="C6" s="37" t="s">
        <v>22</v>
      </c>
      <c r="D6" s="52">
        <v>0.0</v>
      </c>
      <c r="E6" s="52">
        <v>0.0</v>
      </c>
      <c r="F6" s="52">
        <v>0.0</v>
      </c>
      <c r="G6" s="52">
        <v>0.0</v>
      </c>
      <c r="H6" s="52">
        <v>0.0</v>
      </c>
      <c r="I6" s="52">
        <v>0.0</v>
      </c>
      <c r="J6" s="52">
        <v>0.0</v>
      </c>
      <c r="K6" s="52">
        <v>0.0</v>
      </c>
      <c r="L6" s="52">
        <v>0.0</v>
      </c>
      <c r="M6" s="52">
        <v>0.0</v>
      </c>
      <c r="N6" s="52">
        <v>0.0</v>
      </c>
      <c r="O6" s="52">
        <v>0.0</v>
      </c>
      <c r="P6" s="57">
        <f t="shared" si="2"/>
        <v>0</v>
      </c>
      <c r="Q6" s="57">
        <f t="shared" si="3"/>
        <v>0</v>
      </c>
      <c r="R6" s="43"/>
    </row>
    <row r="7" ht="19.5" customHeight="1" outlineLevel="1">
      <c r="A7" s="35"/>
      <c r="B7" s="36"/>
      <c r="C7" s="58" t="s">
        <v>23</v>
      </c>
      <c r="D7" s="52">
        <v>160.0</v>
      </c>
      <c r="E7" s="52">
        <f t="shared" ref="E7:O7" si="4">E5*2/5</f>
        <v>276.592</v>
      </c>
      <c r="F7" s="52">
        <f t="shared" si="4"/>
        <v>289.592</v>
      </c>
      <c r="G7" s="52">
        <f t="shared" si="4"/>
        <v>276.592</v>
      </c>
      <c r="H7" s="52">
        <f t="shared" si="4"/>
        <v>290.592</v>
      </c>
      <c r="I7" s="52">
        <f t="shared" si="4"/>
        <v>289.592</v>
      </c>
      <c r="J7" s="52">
        <f t="shared" si="4"/>
        <v>289.592</v>
      </c>
      <c r="K7" s="52">
        <f t="shared" si="4"/>
        <v>289.592</v>
      </c>
      <c r="L7" s="52">
        <f t="shared" si="4"/>
        <v>290.592</v>
      </c>
      <c r="M7" s="52">
        <f t="shared" si="4"/>
        <v>289.592</v>
      </c>
      <c r="N7" s="52">
        <f t="shared" si="4"/>
        <v>276.592</v>
      </c>
      <c r="O7" s="52">
        <f t="shared" si="4"/>
        <v>276.592</v>
      </c>
      <c r="P7" s="57">
        <f t="shared" si="2"/>
        <v>3295.512</v>
      </c>
      <c r="Q7" s="57">
        <f t="shared" si="3"/>
        <v>274.626</v>
      </c>
      <c r="R7" s="43"/>
    </row>
    <row r="8" ht="19.5" customHeight="1">
      <c r="A8" s="35"/>
      <c r="B8" s="36"/>
      <c r="C8" s="58"/>
      <c r="D8" s="52"/>
      <c r="E8" s="52"/>
      <c r="F8" s="52"/>
      <c r="G8" s="52"/>
      <c r="H8" s="52"/>
      <c r="I8" s="52"/>
      <c r="J8" s="52"/>
      <c r="K8" s="52"/>
      <c r="L8" s="52"/>
      <c r="M8" s="52"/>
      <c r="N8" s="52"/>
      <c r="O8" s="52"/>
      <c r="P8" s="57"/>
      <c r="Q8" s="57"/>
      <c r="R8" s="43"/>
    </row>
    <row r="9" ht="19.5" hidden="1" customHeight="1">
      <c r="A9" s="35"/>
      <c r="B9" s="36"/>
      <c r="C9" s="37"/>
      <c r="D9" s="52"/>
      <c r="E9" s="52"/>
      <c r="F9" s="52"/>
      <c r="G9" s="52"/>
      <c r="H9" s="52"/>
      <c r="I9" s="52"/>
      <c r="J9" s="52"/>
      <c r="K9" s="52"/>
      <c r="L9" s="52"/>
      <c r="M9" s="52"/>
      <c r="N9" s="52"/>
      <c r="O9" s="52"/>
      <c r="P9" s="61"/>
      <c r="Q9" s="61"/>
      <c r="R9" s="43"/>
    </row>
    <row r="10" ht="24.0" customHeight="1">
      <c r="A10" s="28" t="s">
        <v>23</v>
      </c>
      <c r="B10" s="30"/>
      <c r="C10" s="32" t="s">
        <v>9</v>
      </c>
      <c r="D10" s="47">
        <f t="shared" ref="D10:O10" si="5">sum(D11:D14)</f>
        <v>0</v>
      </c>
      <c r="E10" s="47">
        <f t="shared" si="5"/>
        <v>0</v>
      </c>
      <c r="F10" s="47">
        <f t="shared" si="5"/>
        <v>0</v>
      </c>
      <c r="G10" s="47">
        <f t="shared" si="5"/>
        <v>0</v>
      </c>
      <c r="H10" s="47">
        <f t="shared" si="5"/>
        <v>0</v>
      </c>
      <c r="I10" s="47">
        <f t="shared" si="5"/>
        <v>0</v>
      </c>
      <c r="J10" s="47">
        <f t="shared" si="5"/>
        <v>0</v>
      </c>
      <c r="K10" s="47">
        <f t="shared" si="5"/>
        <v>0</v>
      </c>
      <c r="L10" s="47">
        <f t="shared" si="5"/>
        <v>0</v>
      </c>
      <c r="M10" s="47">
        <f t="shared" si="5"/>
        <v>0</v>
      </c>
      <c r="N10" s="47">
        <f t="shared" si="5"/>
        <v>0</v>
      </c>
      <c r="O10" s="47">
        <f t="shared" si="5"/>
        <v>0</v>
      </c>
      <c r="P10" s="50">
        <f t="shared" ref="P10:P12" si="6">sum(D10:O10)</f>
        <v>0</v>
      </c>
      <c r="Q10" s="50">
        <f>iferror(average(D10:O10),"")</f>
        <v>0</v>
      </c>
      <c r="R10" s="51"/>
    </row>
    <row r="11" ht="19.5" customHeight="1" outlineLevel="1">
      <c r="A11" s="35"/>
      <c r="B11" s="36"/>
      <c r="C11" s="58" t="s">
        <v>25</v>
      </c>
      <c r="D11" s="52">
        <v>0.0</v>
      </c>
      <c r="E11" s="52">
        <v>0.0</v>
      </c>
      <c r="F11" s="52">
        <v>0.0</v>
      </c>
      <c r="G11" s="52">
        <v>0.0</v>
      </c>
      <c r="H11" s="52">
        <v>0.0</v>
      </c>
      <c r="I11" s="52">
        <v>0.0</v>
      </c>
      <c r="J11" s="52">
        <v>0.0</v>
      </c>
      <c r="K11" s="52">
        <v>0.0</v>
      </c>
      <c r="L11" s="52">
        <v>0.0</v>
      </c>
      <c r="M11" s="52">
        <v>0.0</v>
      </c>
      <c r="N11" s="52">
        <v>0.0</v>
      </c>
      <c r="O11" s="52">
        <v>0.0</v>
      </c>
      <c r="P11" s="57">
        <f t="shared" si="6"/>
        <v>0</v>
      </c>
      <c r="Q11" s="57">
        <f t="shared" ref="Q11:Q12" si="7">iferror(average(D11:O11),0)</f>
        <v>0</v>
      </c>
      <c r="R11" s="43"/>
    </row>
    <row r="12" ht="19.5" customHeight="1" outlineLevel="1">
      <c r="A12" s="35"/>
      <c r="B12" s="36"/>
      <c r="C12" s="58" t="s">
        <v>23</v>
      </c>
      <c r="D12" s="52">
        <v>0.0</v>
      </c>
      <c r="E12" s="52">
        <v>0.0</v>
      </c>
      <c r="F12" s="52">
        <v>0.0</v>
      </c>
      <c r="G12" s="52">
        <v>0.0</v>
      </c>
      <c r="H12" s="52">
        <v>0.0</v>
      </c>
      <c r="I12" s="52">
        <v>0.0</v>
      </c>
      <c r="J12" s="52">
        <v>0.0</v>
      </c>
      <c r="K12" s="52">
        <v>0.0</v>
      </c>
      <c r="L12" s="52">
        <v>0.0</v>
      </c>
      <c r="M12" s="52">
        <v>0.0</v>
      </c>
      <c r="N12" s="52">
        <v>0.0</v>
      </c>
      <c r="O12" s="52">
        <v>0.0</v>
      </c>
      <c r="P12" s="57">
        <f t="shared" si="6"/>
        <v>0</v>
      </c>
      <c r="Q12" s="57">
        <f t="shared" si="7"/>
        <v>0</v>
      </c>
      <c r="R12" s="43"/>
    </row>
    <row r="13" ht="19.5" customHeight="1">
      <c r="A13" s="35"/>
      <c r="B13" s="36"/>
      <c r="C13" s="58"/>
      <c r="D13" s="38"/>
      <c r="E13" s="38"/>
      <c r="F13" s="38"/>
      <c r="G13" s="38"/>
      <c r="H13" s="38"/>
      <c r="I13" s="38"/>
      <c r="J13" s="38"/>
      <c r="K13" s="38"/>
      <c r="L13" s="38"/>
      <c r="M13" s="38"/>
      <c r="N13" s="38"/>
      <c r="O13" s="38"/>
      <c r="P13" s="66"/>
      <c r="Q13" s="66"/>
      <c r="R13" s="43"/>
    </row>
    <row r="14" ht="19.5" hidden="1" customHeight="1">
      <c r="A14" s="53"/>
      <c r="B14" s="54"/>
      <c r="C14" s="58"/>
      <c r="D14" s="38"/>
      <c r="E14" s="38"/>
      <c r="F14" s="38"/>
      <c r="G14" s="38"/>
      <c r="H14" s="38"/>
      <c r="I14" s="38"/>
      <c r="J14" s="67"/>
      <c r="K14" s="67"/>
      <c r="L14" s="67"/>
      <c r="M14" s="67"/>
      <c r="N14" s="67"/>
      <c r="O14" s="67"/>
      <c r="P14" s="41"/>
      <c r="Q14" s="41"/>
      <c r="R14" s="43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 outlineLevelCol="1" outlineLevelRow="1"/>
  <cols>
    <col customWidth="1" min="1" max="1" width="5.13"/>
    <col customWidth="1" hidden="1" min="2" max="2" width="5.13"/>
    <col customWidth="1" min="3" max="3" width="17.25"/>
    <col customWidth="1" min="4" max="17" width="12.63"/>
    <col customWidth="1" min="18" max="18" width="5.13"/>
  </cols>
  <sheetData>
    <row r="1" ht="6.0" customHeight="1">
      <c r="A1" s="71"/>
      <c r="B1" s="72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4"/>
      <c r="O1" s="74"/>
      <c r="P1" s="75"/>
      <c r="Q1" s="75"/>
      <c r="R1" s="74"/>
    </row>
    <row r="2" ht="30.0" customHeight="1">
      <c r="A2" s="76"/>
      <c r="B2" s="77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8"/>
      <c r="O2" s="78"/>
      <c r="P2" s="79"/>
      <c r="Q2" s="79"/>
      <c r="R2" s="78"/>
    </row>
    <row r="3" ht="18.0" customHeight="1">
      <c r="A3" s="80"/>
      <c r="B3" s="81"/>
      <c r="C3" s="82"/>
      <c r="D3" s="82"/>
      <c r="E3" s="82"/>
      <c r="F3" s="82"/>
      <c r="G3" s="82"/>
      <c r="H3" s="82"/>
      <c r="I3" s="82"/>
      <c r="J3" s="82"/>
      <c r="K3" s="82"/>
      <c r="L3" s="82"/>
      <c r="M3" s="82"/>
      <c r="N3" s="82"/>
      <c r="O3" s="82"/>
      <c r="P3" s="83"/>
      <c r="Q3" s="83"/>
      <c r="R3" s="84"/>
    </row>
    <row r="4" ht="18.0" customHeight="1">
      <c r="A4" s="80"/>
      <c r="B4" s="81"/>
      <c r="C4" s="82"/>
      <c r="D4" s="82"/>
      <c r="E4" s="82"/>
      <c r="F4" s="82"/>
      <c r="G4" s="82"/>
      <c r="H4" s="82"/>
      <c r="I4" s="82"/>
      <c r="J4" s="82"/>
      <c r="K4" s="82"/>
      <c r="L4" s="82"/>
      <c r="M4" s="82"/>
      <c r="N4" s="82"/>
      <c r="O4" s="82"/>
      <c r="P4" s="83"/>
      <c r="Q4" s="83"/>
      <c r="R4" s="84"/>
    </row>
    <row r="5" ht="18.0" customHeight="1">
      <c r="A5" s="80"/>
      <c r="B5" s="81"/>
      <c r="C5" s="82"/>
      <c r="D5" s="82"/>
      <c r="E5" s="82"/>
      <c r="F5" s="82"/>
      <c r="G5" s="82"/>
      <c r="H5" s="82"/>
      <c r="I5" s="82"/>
      <c r="J5" s="82"/>
      <c r="K5" s="82"/>
      <c r="L5" s="82"/>
      <c r="M5" s="82"/>
      <c r="N5" s="82"/>
      <c r="O5" s="82"/>
      <c r="P5" s="83"/>
      <c r="Q5" s="83"/>
      <c r="R5" s="84"/>
    </row>
    <row r="6" ht="18.0" customHeight="1">
      <c r="A6" s="80"/>
      <c r="B6" s="81"/>
      <c r="C6" s="82"/>
      <c r="D6" s="82"/>
      <c r="E6" s="82"/>
      <c r="F6" s="82"/>
      <c r="G6" s="82"/>
      <c r="H6" s="82"/>
      <c r="I6" s="82"/>
      <c r="J6" s="82"/>
      <c r="K6" s="82"/>
      <c r="L6" s="82"/>
      <c r="M6" s="82"/>
      <c r="N6" s="82"/>
      <c r="O6" s="82"/>
      <c r="P6" s="83"/>
      <c r="Q6" s="83"/>
      <c r="R6" s="84"/>
    </row>
    <row r="7" ht="18.0" customHeight="1">
      <c r="A7" s="80"/>
      <c r="B7" s="81"/>
      <c r="C7" s="82"/>
      <c r="D7" s="82"/>
      <c r="E7" s="82"/>
      <c r="F7" s="82"/>
      <c r="G7" s="82"/>
      <c r="H7" s="82"/>
      <c r="I7" s="82"/>
      <c r="J7" s="82"/>
      <c r="K7" s="82"/>
      <c r="L7" s="82"/>
      <c r="M7" s="82"/>
      <c r="N7" s="82"/>
      <c r="O7" s="82"/>
      <c r="P7" s="83"/>
      <c r="Q7" s="83"/>
      <c r="R7" s="84"/>
    </row>
    <row r="8" ht="18.0" customHeight="1">
      <c r="A8" s="80"/>
      <c r="B8" s="81"/>
      <c r="C8" s="82"/>
      <c r="D8" s="82"/>
      <c r="E8" s="82"/>
      <c r="F8" s="82"/>
      <c r="G8" s="82"/>
      <c r="H8" s="82"/>
      <c r="I8" s="82"/>
      <c r="J8" s="82"/>
      <c r="K8" s="82"/>
      <c r="L8" s="82"/>
      <c r="M8" s="82"/>
      <c r="N8" s="82"/>
      <c r="O8" s="82"/>
      <c r="P8" s="83"/>
      <c r="Q8" s="83"/>
      <c r="R8" s="84"/>
    </row>
    <row r="9" ht="18.0" customHeight="1">
      <c r="A9" s="80"/>
      <c r="B9" s="81"/>
      <c r="C9" s="82"/>
      <c r="D9" s="82"/>
      <c r="E9" s="82"/>
      <c r="F9" s="82"/>
      <c r="G9" s="82"/>
      <c r="H9" s="82"/>
      <c r="I9" s="82"/>
      <c r="J9" s="82"/>
      <c r="K9" s="82"/>
      <c r="L9" s="82"/>
      <c r="M9" s="82"/>
      <c r="N9" s="82"/>
      <c r="O9" s="82"/>
      <c r="P9" s="83"/>
      <c r="Q9" s="83"/>
      <c r="R9" s="84"/>
    </row>
    <row r="10" ht="18.0" customHeight="1">
      <c r="A10" s="80"/>
      <c r="B10" s="81"/>
      <c r="C10" s="82"/>
      <c r="D10" s="82"/>
      <c r="E10" s="82"/>
      <c r="F10" s="82"/>
      <c r="G10" s="82"/>
      <c r="H10" s="82"/>
      <c r="I10" s="82"/>
      <c r="J10" s="82"/>
      <c r="K10" s="82"/>
      <c r="L10" s="82"/>
      <c r="M10" s="82"/>
      <c r="N10" s="82"/>
      <c r="O10" s="82"/>
      <c r="P10" s="83"/>
      <c r="Q10" s="83"/>
      <c r="R10" s="84"/>
    </row>
    <row r="11" ht="18.0" customHeight="1">
      <c r="A11" s="80"/>
      <c r="B11" s="81"/>
      <c r="C11" s="82"/>
      <c r="D11" s="82"/>
      <c r="E11" s="82"/>
      <c r="F11" s="82"/>
      <c r="G11" s="82"/>
      <c r="H11" s="82"/>
      <c r="I11" s="82"/>
      <c r="J11" s="82"/>
      <c r="K11" s="82"/>
      <c r="L11" s="82"/>
      <c r="M11" s="82"/>
      <c r="N11" s="82"/>
      <c r="O11" s="82"/>
      <c r="P11" s="83"/>
      <c r="Q11" s="83"/>
      <c r="R11" s="84"/>
    </row>
    <row r="12" ht="18.0" customHeight="1">
      <c r="A12" s="80"/>
      <c r="B12" s="81"/>
      <c r="C12" s="82"/>
      <c r="D12" s="82"/>
      <c r="E12" s="82"/>
      <c r="F12" s="82"/>
      <c r="G12" s="82"/>
      <c r="H12" s="82"/>
      <c r="I12" s="82"/>
      <c r="J12" s="82"/>
      <c r="K12" s="82"/>
      <c r="L12" s="82"/>
      <c r="M12" s="82"/>
      <c r="N12" s="82"/>
      <c r="O12" s="82"/>
      <c r="P12" s="83"/>
      <c r="Q12" s="83"/>
      <c r="R12" s="84"/>
    </row>
    <row r="13" ht="18.0" customHeight="1">
      <c r="A13" s="80"/>
      <c r="B13" s="81"/>
      <c r="C13" s="82"/>
      <c r="D13" s="82"/>
      <c r="E13" s="82"/>
      <c r="F13" s="82"/>
      <c r="G13" s="82"/>
      <c r="H13" s="82"/>
      <c r="I13" s="82"/>
      <c r="J13" s="82"/>
      <c r="K13" s="82"/>
      <c r="L13" s="82"/>
      <c r="M13" s="82"/>
      <c r="N13" s="82"/>
      <c r="O13" s="82"/>
      <c r="P13" s="83"/>
      <c r="Q13" s="83"/>
      <c r="R13" s="84"/>
    </row>
    <row r="14" ht="18.0" customHeight="1">
      <c r="A14" s="80"/>
      <c r="B14" s="81"/>
      <c r="C14" s="82"/>
      <c r="D14" s="82"/>
      <c r="E14" s="82"/>
      <c r="F14" s="82"/>
      <c r="G14" s="82"/>
      <c r="H14" s="82"/>
      <c r="I14" s="82"/>
      <c r="J14" s="82"/>
      <c r="K14" s="82"/>
      <c r="L14" s="82"/>
      <c r="M14" s="82"/>
      <c r="N14" s="82"/>
      <c r="O14" s="82"/>
      <c r="P14" s="83"/>
      <c r="Q14" s="83"/>
      <c r="R14" s="84"/>
    </row>
    <row r="15" ht="18.0" customHeight="1">
      <c r="A15" s="80"/>
      <c r="B15" s="81"/>
      <c r="C15" s="82"/>
      <c r="D15" s="82"/>
      <c r="E15" s="82"/>
      <c r="F15" s="82"/>
      <c r="G15" s="82"/>
      <c r="H15" s="82"/>
      <c r="I15" s="82"/>
      <c r="J15" s="82"/>
      <c r="K15" s="82"/>
      <c r="L15" s="82"/>
      <c r="M15" s="82"/>
      <c r="N15" s="82"/>
      <c r="O15" s="82"/>
      <c r="P15" s="83"/>
      <c r="Q15" s="83"/>
      <c r="R15" s="84"/>
    </row>
    <row r="16" ht="30.0" customHeight="1">
      <c r="A16" s="80"/>
      <c r="B16" s="81"/>
      <c r="C16" s="84"/>
      <c r="D16" s="84"/>
      <c r="E16" s="84"/>
      <c r="F16" s="84"/>
      <c r="G16" s="84"/>
      <c r="H16" s="84"/>
      <c r="I16" s="84"/>
      <c r="J16" s="84"/>
      <c r="K16" s="84"/>
      <c r="L16" s="84"/>
      <c r="M16" s="84"/>
      <c r="N16" s="85"/>
      <c r="O16" s="84"/>
      <c r="P16" s="86"/>
      <c r="Q16" s="86"/>
      <c r="R16" s="84"/>
    </row>
    <row r="17" ht="19.5" customHeight="1">
      <c r="A17" s="80"/>
      <c r="B17" s="81"/>
      <c r="C17" s="87" t="s">
        <v>41</v>
      </c>
      <c r="D17" s="88"/>
      <c r="E17" s="89"/>
      <c r="F17" s="89"/>
      <c r="G17" s="89"/>
      <c r="H17" s="89"/>
      <c r="I17" s="89"/>
      <c r="J17" s="89"/>
      <c r="K17" s="89"/>
      <c r="L17" s="89"/>
      <c r="M17" s="89"/>
      <c r="N17" s="89"/>
      <c r="O17" s="89"/>
      <c r="P17" s="90"/>
      <c r="Q17" s="90"/>
      <c r="R17" s="91"/>
    </row>
    <row r="18" ht="19.5" customHeight="1">
      <c r="A18" s="92"/>
      <c r="B18" s="93"/>
      <c r="C18" s="94"/>
      <c r="D18" s="95">
        <f>Expenses!D$2</f>
        <v>42522</v>
      </c>
      <c r="E18" s="95">
        <f>Expenses!E$2</f>
        <v>42552</v>
      </c>
      <c r="F18" s="95">
        <f>Expenses!F$2</f>
        <v>42583</v>
      </c>
      <c r="G18" s="95">
        <f>Expenses!G$2</f>
        <v>42614</v>
      </c>
      <c r="H18" s="95">
        <f>Expenses!H$2</f>
        <v>42644</v>
      </c>
      <c r="I18" s="95">
        <f>Expenses!I$2</f>
        <v>42675</v>
      </c>
      <c r="J18" s="95">
        <f>Expenses!J$2</f>
        <v>42705</v>
      </c>
      <c r="K18" s="95">
        <f>Expenses!K$2</f>
        <v>42370</v>
      </c>
      <c r="L18" s="95">
        <f>Expenses!L$2</f>
        <v>42401</v>
      </c>
      <c r="M18" s="95">
        <f>Expenses!M$2</f>
        <v>42430</v>
      </c>
      <c r="N18" s="95">
        <f>Expenses!N$2</f>
        <v>42461</v>
      </c>
      <c r="O18" s="95">
        <f>Expenses!O$2</f>
        <v>42491</v>
      </c>
      <c r="P18" s="97" t="s">
        <v>3</v>
      </c>
      <c r="Q18" s="97" t="s">
        <v>5</v>
      </c>
      <c r="R18" s="98"/>
    </row>
    <row r="19" ht="24.0" customHeight="1">
      <c r="A19" s="80"/>
      <c r="B19" s="81"/>
      <c r="C19" s="99" t="s">
        <v>1</v>
      </c>
      <c r="D19" s="100">
        <f t="shared" ref="D19:O19" si="1">sum(D37)</f>
        <v>1547.96</v>
      </c>
      <c r="E19" s="100">
        <f t="shared" si="1"/>
        <v>1659.552</v>
      </c>
      <c r="F19" s="100">
        <f t="shared" si="1"/>
        <v>1737.552</v>
      </c>
      <c r="G19" s="100">
        <f t="shared" si="1"/>
        <v>1659.552</v>
      </c>
      <c r="H19" s="100">
        <f t="shared" si="1"/>
        <v>1743.552</v>
      </c>
      <c r="I19" s="100">
        <f t="shared" si="1"/>
        <v>1737.552</v>
      </c>
      <c r="J19" s="100">
        <f t="shared" si="1"/>
        <v>1737.552</v>
      </c>
      <c r="K19" s="100">
        <f t="shared" si="1"/>
        <v>1737.552</v>
      </c>
      <c r="L19" s="100">
        <f t="shared" si="1"/>
        <v>1743.552</v>
      </c>
      <c r="M19" s="100">
        <f t="shared" si="1"/>
        <v>1737.552</v>
      </c>
      <c r="N19" s="100">
        <f t="shared" si="1"/>
        <v>1659.552</v>
      </c>
      <c r="O19" s="100">
        <f t="shared" si="1"/>
        <v>1659.552</v>
      </c>
      <c r="P19" s="101">
        <f t="shared" ref="P19:P21" si="3">sum(D19:O19)</f>
        <v>20361.032</v>
      </c>
      <c r="Q19" s="101">
        <f t="shared" ref="Q19:Q21" si="4">iferror(averageif(D19:O19, "&gt;0", D19:O19), 0)</f>
        <v>1696.752667</v>
      </c>
      <c r="R19" s="102"/>
    </row>
    <row r="20" ht="24.0" customHeight="1">
      <c r="A20" s="80"/>
      <c r="B20" s="81"/>
      <c r="C20" s="103" t="s">
        <v>4</v>
      </c>
      <c r="D20" s="104">
        <f t="shared" ref="D20:O20" si="2">sum(D55)</f>
        <v>1387.96</v>
      </c>
      <c r="E20" s="104">
        <f t="shared" si="2"/>
        <v>1382.96</v>
      </c>
      <c r="F20" s="104">
        <f t="shared" si="2"/>
        <v>1447.96</v>
      </c>
      <c r="G20" s="104">
        <f t="shared" si="2"/>
        <v>1382.96</v>
      </c>
      <c r="H20" s="104">
        <f t="shared" si="2"/>
        <v>1452.96</v>
      </c>
      <c r="I20" s="104">
        <f t="shared" si="2"/>
        <v>1447.96</v>
      </c>
      <c r="J20" s="104">
        <f t="shared" si="2"/>
        <v>1447.96</v>
      </c>
      <c r="K20" s="104">
        <f t="shared" si="2"/>
        <v>1447.96</v>
      </c>
      <c r="L20" s="104">
        <f t="shared" si="2"/>
        <v>1452.96</v>
      </c>
      <c r="M20" s="104">
        <f t="shared" si="2"/>
        <v>1447.96</v>
      </c>
      <c r="N20" s="104">
        <f t="shared" si="2"/>
        <v>1382.96</v>
      </c>
      <c r="O20" s="104">
        <f t="shared" si="2"/>
        <v>1382.96</v>
      </c>
      <c r="P20" s="105">
        <f t="shared" si="3"/>
        <v>17065.52</v>
      </c>
      <c r="Q20" s="106">
        <f t="shared" si="4"/>
        <v>1422.126667</v>
      </c>
      <c r="R20" s="102"/>
    </row>
    <row r="21" ht="24.0" customHeight="1">
      <c r="A21" s="80"/>
      <c r="B21" s="81"/>
      <c r="C21" s="99" t="s">
        <v>43</v>
      </c>
      <c r="D21" s="100">
        <f t="shared" ref="D21:O21" si="5">D19-D20</f>
        <v>160</v>
      </c>
      <c r="E21" s="100">
        <f t="shared" si="5"/>
        <v>276.592</v>
      </c>
      <c r="F21" s="100">
        <f t="shared" si="5"/>
        <v>289.592</v>
      </c>
      <c r="G21" s="100">
        <f t="shared" si="5"/>
        <v>276.592</v>
      </c>
      <c r="H21" s="100">
        <f t="shared" si="5"/>
        <v>290.592</v>
      </c>
      <c r="I21" s="100">
        <f t="shared" si="5"/>
        <v>289.592</v>
      </c>
      <c r="J21" s="100">
        <f t="shared" si="5"/>
        <v>289.592</v>
      </c>
      <c r="K21" s="100">
        <f t="shared" si="5"/>
        <v>289.592</v>
      </c>
      <c r="L21" s="100">
        <f t="shared" si="5"/>
        <v>290.592</v>
      </c>
      <c r="M21" s="100">
        <f t="shared" si="5"/>
        <v>289.592</v>
      </c>
      <c r="N21" s="100">
        <f t="shared" si="5"/>
        <v>276.592</v>
      </c>
      <c r="O21" s="100">
        <f t="shared" si="5"/>
        <v>276.592</v>
      </c>
      <c r="P21" s="107">
        <f t="shared" si="3"/>
        <v>3295.512</v>
      </c>
      <c r="Q21" s="107">
        <f t="shared" si="4"/>
        <v>274.626</v>
      </c>
      <c r="R21" s="108"/>
    </row>
    <row r="22" ht="45.0" customHeight="1">
      <c r="A22" s="80"/>
      <c r="B22" s="81"/>
      <c r="C22" s="109" t="s">
        <v>44</v>
      </c>
      <c r="D22" s="110">
        <f>(StartingBalance+D19)-D20</f>
        <v>160</v>
      </c>
      <c r="E22" s="110">
        <f t="shared" ref="E22:O22" si="6">(D22+E19)-E20</f>
        <v>436.592</v>
      </c>
      <c r="F22" s="110">
        <f t="shared" si="6"/>
        <v>726.184</v>
      </c>
      <c r="G22" s="110">
        <f t="shared" si="6"/>
        <v>1002.776</v>
      </c>
      <c r="H22" s="110">
        <f t="shared" si="6"/>
        <v>1293.368</v>
      </c>
      <c r="I22" s="110">
        <f t="shared" si="6"/>
        <v>1582.96</v>
      </c>
      <c r="J22" s="110">
        <f t="shared" si="6"/>
        <v>1872.552</v>
      </c>
      <c r="K22" s="110">
        <f t="shared" si="6"/>
        <v>2162.144</v>
      </c>
      <c r="L22" s="110">
        <f t="shared" si="6"/>
        <v>2452.736</v>
      </c>
      <c r="M22" s="110">
        <f t="shared" si="6"/>
        <v>2742.328</v>
      </c>
      <c r="N22" s="110">
        <f t="shared" si="6"/>
        <v>3018.92</v>
      </c>
      <c r="O22" s="110">
        <f t="shared" si="6"/>
        <v>3295.512</v>
      </c>
      <c r="P22" s="110"/>
      <c r="Q22" s="111"/>
      <c r="R22" s="102"/>
    </row>
    <row r="23" ht="19.5" customHeight="1">
      <c r="A23" s="80"/>
      <c r="B23" s="81"/>
      <c r="C23" s="112"/>
      <c r="D23" s="113"/>
      <c r="E23" s="113"/>
      <c r="F23" s="113"/>
      <c r="G23" s="113"/>
      <c r="H23" s="113"/>
      <c r="I23" s="113"/>
      <c r="J23" s="113"/>
      <c r="K23" s="113"/>
      <c r="L23" s="113"/>
      <c r="M23" s="113"/>
      <c r="N23" s="113"/>
      <c r="O23" s="113"/>
      <c r="P23" s="114"/>
      <c r="Q23" s="114"/>
      <c r="R23" s="102"/>
    </row>
    <row r="24" ht="19.5" customHeight="1">
      <c r="A24" s="80"/>
      <c r="B24" s="81"/>
      <c r="C24" s="112"/>
      <c r="D24" s="113"/>
      <c r="E24" s="113"/>
      <c r="F24" s="113"/>
      <c r="G24" s="113"/>
      <c r="H24" s="113"/>
      <c r="I24" s="113"/>
      <c r="J24" s="113"/>
      <c r="K24" s="113"/>
      <c r="L24" s="113"/>
      <c r="M24" s="113"/>
      <c r="N24" s="113"/>
      <c r="O24" s="113"/>
      <c r="P24" s="114"/>
      <c r="Q24" s="114"/>
      <c r="R24" s="115"/>
    </row>
    <row r="25" ht="19.5" customHeight="1">
      <c r="A25" s="80"/>
      <c r="B25" s="81"/>
      <c r="C25" s="116" t="s">
        <v>1</v>
      </c>
      <c r="D25" s="116"/>
      <c r="E25" s="117"/>
      <c r="F25" s="117"/>
      <c r="G25" s="117"/>
      <c r="H25" s="117"/>
      <c r="I25" s="117"/>
      <c r="J25" s="118"/>
      <c r="K25" s="113"/>
      <c r="L25" s="113"/>
      <c r="M25" s="113"/>
      <c r="N25" s="113"/>
      <c r="O25" s="113"/>
      <c r="P25" s="114"/>
      <c r="Q25" s="114"/>
      <c r="R25" s="115"/>
    </row>
    <row r="26" ht="19.5" customHeight="1">
      <c r="A26" s="92"/>
      <c r="B26" s="93" t="s">
        <v>46</v>
      </c>
      <c r="C26" s="119" t="str">
        <f t="array" ref="C26:C28">unique(Income!A:A)</f>
        <v/>
      </c>
      <c r="D26" s="95">
        <f>Expenses!D$2</f>
        <v>42522</v>
      </c>
      <c r="E26" s="95">
        <f>Expenses!E$2</f>
        <v>42552</v>
      </c>
      <c r="F26" s="95">
        <f>Expenses!F$2</f>
        <v>42583</v>
      </c>
      <c r="G26" s="95">
        <f>Expenses!G$2</f>
        <v>42614</v>
      </c>
      <c r="H26" s="95">
        <f>Expenses!H$2</f>
        <v>42644</v>
      </c>
      <c r="I26" s="95">
        <f>Expenses!I$2</f>
        <v>42675</v>
      </c>
      <c r="J26" s="95">
        <f>Expenses!J$2</f>
        <v>42705</v>
      </c>
      <c r="K26" s="95">
        <f>Expenses!K$2</f>
        <v>42370</v>
      </c>
      <c r="L26" s="95">
        <f>Expenses!L$2</f>
        <v>42401</v>
      </c>
      <c r="M26" s="95">
        <f>Expenses!M$2</f>
        <v>42430</v>
      </c>
      <c r="N26" s="95">
        <f>Expenses!N$2</f>
        <v>42461</v>
      </c>
      <c r="O26" s="95">
        <f>Expenses!O$2</f>
        <v>42491</v>
      </c>
      <c r="P26" s="120" t="s">
        <v>3</v>
      </c>
      <c r="Q26" s="120" t="s">
        <v>5</v>
      </c>
      <c r="R26" s="98"/>
    </row>
    <row r="27" ht="24.0" customHeight="1">
      <c r="A27" s="80"/>
      <c r="B27" s="121">
        <f t="array" ref="B27:B36">iferror(match(C27:C36,Income!A:A,0),"")</f>
        <v>3</v>
      </c>
      <c r="C27" s="122" t="s">
        <v>6</v>
      </c>
      <c r="D27" s="123">
        <f t="shared" ref="D27:D36" si="7">if(not(isblank(B27)), indirect("Income!D"&amp;B27&amp;":Q"&amp;B27),"")</f>
        <v>1547.96</v>
      </c>
      <c r="E27" s="123">
        <v>1659.5520000000001</v>
      </c>
      <c r="F27" s="123">
        <v>1737.5520000000001</v>
      </c>
      <c r="G27" s="123">
        <v>1659.5520000000001</v>
      </c>
      <c r="H27" s="123">
        <v>1743.5520000000001</v>
      </c>
      <c r="I27" s="123">
        <v>1737.5520000000001</v>
      </c>
      <c r="J27" s="123">
        <v>1737.5520000000001</v>
      </c>
      <c r="K27" s="123">
        <v>1737.5520000000001</v>
      </c>
      <c r="L27" s="123">
        <v>1743.5520000000001</v>
      </c>
      <c r="M27" s="123">
        <v>1737.5520000000001</v>
      </c>
      <c r="N27" s="123">
        <v>1659.5520000000001</v>
      </c>
      <c r="O27" s="123">
        <v>1659.5520000000001</v>
      </c>
      <c r="P27" s="101">
        <v>20361.032</v>
      </c>
      <c r="Q27" s="101">
        <v>1696.7526666666665</v>
      </c>
      <c r="R27" s="124"/>
    </row>
    <row r="28" ht="24.0" customHeight="1">
      <c r="A28" s="80"/>
      <c r="B28" s="125">
        <v>10.0</v>
      </c>
      <c r="C28" s="126" t="s">
        <v>23</v>
      </c>
      <c r="D28" s="123">
        <f t="shared" si="7"/>
        <v>0</v>
      </c>
      <c r="E28" s="123">
        <v>0.0</v>
      </c>
      <c r="F28" s="123">
        <v>0.0</v>
      </c>
      <c r="G28" s="123">
        <v>0.0</v>
      </c>
      <c r="H28" s="123">
        <v>0.0</v>
      </c>
      <c r="I28" s="123">
        <v>0.0</v>
      </c>
      <c r="J28" s="123">
        <v>0.0</v>
      </c>
      <c r="K28" s="123">
        <v>0.0</v>
      </c>
      <c r="L28" s="123">
        <v>0.0</v>
      </c>
      <c r="M28" s="123">
        <v>0.0</v>
      </c>
      <c r="N28" s="123">
        <v>0.0</v>
      </c>
      <c r="O28" s="123">
        <v>0.0</v>
      </c>
      <c r="P28" s="101">
        <v>0.0</v>
      </c>
      <c r="Q28" s="101">
        <v>0.0</v>
      </c>
      <c r="R28" s="124"/>
    </row>
    <row r="29" ht="19.5" hidden="1" customHeight="1">
      <c r="A29" s="80"/>
      <c r="B29" s="81"/>
      <c r="C29" s="126"/>
      <c r="D29" s="123" t="str">
        <f t="shared" si="7"/>
        <v/>
      </c>
      <c r="E29" s="123"/>
      <c r="F29" s="123"/>
      <c r="G29" s="123"/>
      <c r="H29" s="123"/>
      <c r="I29" s="123"/>
      <c r="J29" s="123"/>
      <c r="K29" s="123"/>
      <c r="L29" s="123"/>
      <c r="M29" s="123"/>
      <c r="N29" s="123"/>
      <c r="O29" s="123"/>
      <c r="P29" s="101"/>
      <c r="Q29" s="101"/>
      <c r="R29" s="102"/>
    </row>
    <row r="30" ht="19.5" hidden="1" customHeight="1">
      <c r="A30" s="80"/>
      <c r="B30" s="81"/>
      <c r="C30" s="126"/>
      <c r="D30" s="123" t="str">
        <f t="shared" si="7"/>
        <v/>
      </c>
      <c r="E30" s="123"/>
      <c r="F30" s="123"/>
      <c r="G30" s="123"/>
      <c r="H30" s="123"/>
      <c r="I30" s="123"/>
      <c r="J30" s="123"/>
      <c r="K30" s="123"/>
      <c r="L30" s="123"/>
      <c r="M30" s="123"/>
      <c r="N30" s="123"/>
      <c r="O30" s="123"/>
      <c r="P30" s="101"/>
      <c r="Q30" s="101"/>
      <c r="R30" s="102"/>
    </row>
    <row r="31" ht="19.5" hidden="1" customHeight="1">
      <c r="A31" s="80"/>
      <c r="B31" s="81"/>
      <c r="C31" s="126"/>
      <c r="D31" s="123" t="str">
        <f t="shared" si="7"/>
        <v/>
      </c>
      <c r="E31" s="123"/>
      <c r="F31" s="123"/>
      <c r="G31" s="123"/>
      <c r="H31" s="123"/>
      <c r="I31" s="123"/>
      <c r="J31" s="123"/>
      <c r="K31" s="123"/>
      <c r="L31" s="123"/>
      <c r="M31" s="123"/>
      <c r="N31" s="123"/>
      <c r="O31" s="123"/>
      <c r="P31" s="101"/>
      <c r="Q31" s="101"/>
      <c r="R31" s="102"/>
    </row>
    <row r="32" ht="19.5" hidden="1" customHeight="1">
      <c r="A32" s="80"/>
      <c r="B32" s="81"/>
      <c r="C32" s="126"/>
      <c r="D32" s="123" t="str">
        <f t="shared" si="7"/>
        <v/>
      </c>
      <c r="E32" s="123"/>
      <c r="F32" s="123"/>
      <c r="G32" s="123"/>
      <c r="H32" s="123"/>
      <c r="I32" s="123"/>
      <c r="J32" s="123"/>
      <c r="K32" s="123"/>
      <c r="L32" s="123"/>
      <c r="M32" s="123"/>
      <c r="N32" s="123"/>
      <c r="O32" s="123"/>
      <c r="P32" s="101"/>
      <c r="Q32" s="101"/>
      <c r="R32" s="102"/>
    </row>
    <row r="33" ht="19.5" hidden="1" customHeight="1">
      <c r="A33" s="80"/>
      <c r="B33" s="81"/>
      <c r="C33" s="126"/>
      <c r="D33" s="123" t="str">
        <f t="shared" si="7"/>
        <v/>
      </c>
      <c r="E33" s="123"/>
      <c r="F33" s="123"/>
      <c r="G33" s="123"/>
      <c r="H33" s="123"/>
      <c r="I33" s="123"/>
      <c r="J33" s="123"/>
      <c r="K33" s="123"/>
      <c r="L33" s="123"/>
      <c r="M33" s="123"/>
      <c r="N33" s="123"/>
      <c r="O33" s="123"/>
      <c r="P33" s="101"/>
      <c r="Q33" s="101"/>
      <c r="R33" s="102"/>
    </row>
    <row r="34" ht="19.5" hidden="1" customHeight="1">
      <c r="A34" s="80"/>
      <c r="B34" s="81"/>
      <c r="C34" s="127"/>
      <c r="D34" s="128" t="str">
        <f t="shared" si="7"/>
        <v/>
      </c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9"/>
      <c r="Q34" s="129"/>
      <c r="R34" s="102"/>
    </row>
    <row r="35" ht="19.5" hidden="1" customHeight="1">
      <c r="A35" s="80"/>
      <c r="B35" s="81"/>
      <c r="C35" s="127"/>
      <c r="D35" s="128" t="str">
        <f t="shared" si="7"/>
        <v/>
      </c>
      <c r="E35" s="128"/>
      <c r="F35" s="128"/>
      <c r="G35" s="128"/>
      <c r="H35" s="128"/>
      <c r="I35" s="128"/>
      <c r="J35" s="128"/>
      <c r="K35" s="128"/>
      <c r="L35" s="128"/>
      <c r="M35" s="128"/>
      <c r="N35" s="128"/>
      <c r="O35" s="128"/>
      <c r="P35" s="129"/>
      <c r="Q35" s="129"/>
      <c r="R35" s="102"/>
    </row>
    <row r="36" ht="19.5" hidden="1" customHeight="1">
      <c r="A36" s="80"/>
      <c r="B36" s="81"/>
      <c r="C36" s="127"/>
      <c r="D36" s="128" t="str">
        <f t="shared" si="7"/>
        <v/>
      </c>
      <c r="E36" s="128"/>
      <c r="F36" s="128"/>
      <c r="G36" s="128"/>
      <c r="H36" s="128"/>
      <c r="I36" s="128"/>
      <c r="J36" s="128"/>
      <c r="K36" s="128"/>
      <c r="L36" s="128"/>
      <c r="M36" s="128"/>
      <c r="N36" s="128"/>
      <c r="O36" s="128"/>
      <c r="P36" s="129"/>
      <c r="Q36" s="129"/>
      <c r="R36" s="115"/>
    </row>
    <row r="37" ht="45.0" customHeight="1">
      <c r="A37" s="80"/>
      <c r="B37" s="130"/>
      <c r="C37" s="109" t="s">
        <v>50</v>
      </c>
      <c r="D37" s="110">
        <f t="shared" ref="D37:P37" si="8">SUM(D27:D28)</f>
        <v>1547.96</v>
      </c>
      <c r="E37" s="110">
        <f t="shared" si="8"/>
        <v>1659.552</v>
      </c>
      <c r="F37" s="110">
        <f t="shared" si="8"/>
        <v>1737.552</v>
      </c>
      <c r="G37" s="110">
        <f t="shared" si="8"/>
        <v>1659.552</v>
      </c>
      <c r="H37" s="110">
        <f t="shared" si="8"/>
        <v>1743.552</v>
      </c>
      <c r="I37" s="110">
        <f t="shared" si="8"/>
        <v>1737.552</v>
      </c>
      <c r="J37" s="110">
        <f t="shared" si="8"/>
        <v>1737.552</v>
      </c>
      <c r="K37" s="110">
        <f t="shared" si="8"/>
        <v>1737.552</v>
      </c>
      <c r="L37" s="110">
        <f t="shared" si="8"/>
        <v>1743.552</v>
      </c>
      <c r="M37" s="110">
        <f t="shared" si="8"/>
        <v>1737.552</v>
      </c>
      <c r="N37" s="110">
        <f t="shared" si="8"/>
        <v>1659.552</v>
      </c>
      <c r="O37" s="110">
        <f t="shared" si="8"/>
        <v>1659.552</v>
      </c>
      <c r="P37" s="110">
        <f t="shared" si="8"/>
        <v>20361.032</v>
      </c>
      <c r="Q37" s="111"/>
      <c r="R37" s="115"/>
    </row>
    <row r="38" ht="19.5" customHeight="1">
      <c r="A38" s="80"/>
      <c r="B38" s="81"/>
      <c r="C38" s="131"/>
      <c r="D38" s="132"/>
      <c r="E38" s="133"/>
      <c r="F38" s="133"/>
      <c r="G38" s="134"/>
      <c r="H38" s="134"/>
      <c r="I38" s="134"/>
      <c r="J38" s="134"/>
      <c r="K38" s="134"/>
      <c r="L38" s="134"/>
      <c r="M38" s="134"/>
      <c r="N38" s="134"/>
      <c r="O38" s="134"/>
      <c r="P38" s="135"/>
      <c r="Q38" s="135"/>
      <c r="R38" s="115"/>
    </row>
    <row r="39" ht="19.5" customHeight="1">
      <c r="A39" s="80"/>
      <c r="B39" s="81"/>
      <c r="C39" s="116" t="s">
        <v>4</v>
      </c>
      <c r="D39" s="116"/>
      <c r="E39" s="118"/>
      <c r="F39" s="118"/>
      <c r="G39" s="136"/>
      <c r="H39" s="136"/>
      <c r="I39" s="136"/>
      <c r="J39" s="136"/>
      <c r="K39" s="136"/>
      <c r="L39" s="136"/>
      <c r="M39" s="136"/>
      <c r="N39" s="136"/>
      <c r="O39" s="136"/>
      <c r="P39" s="101"/>
      <c r="Q39" s="101"/>
      <c r="R39" s="115"/>
    </row>
    <row r="40" ht="19.5" customHeight="1">
      <c r="A40" s="92"/>
      <c r="B40" s="93" t="s">
        <v>46</v>
      </c>
      <c r="C40" s="137" t="str">
        <f t="array" ref="C40:C50">unique(Expenses!A:A)</f>
        <v/>
      </c>
      <c r="D40" s="95">
        <f>Expenses!D$2</f>
        <v>42522</v>
      </c>
      <c r="E40" s="95">
        <f>Expenses!E$2</f>
        <v>42552</v>
      </c>
      <c r="F40" s="95">
        <f>Expenses!F$2</f>
        <v>42583</v>
      </c>
      <c r="G40" s="95">
        <f>Expenses!G$2</f>
        <v>42614</v>
      </c>
      <c r="H40" s="95">
        <f>Expenses!H$2</f>
        <v>42644</v>
      </c>
      <c r="I40" s="95">
        <f>Expenses!I$2</f>
        <v>42675</v>
      </c>
      <c r="J40" s="95">
        <f>Expenses!J$2</f>
        <v>42705</v>
      </c>
      <c r="K40" s="95">
        <f>Expenses!K$2</f>
        <v>42370</v>
      </c>
      <c r="L40" s="95">
        <f>Expenses!L$2</f>
        <v>42401</v>
      </c>
      <c r="M40" s="95">
        <f>Expenses!M$2</f>
        <v>42430</v>
      </c>
      <c r="N40" s="95">
        <f>Expenses!N$2</f>
        <v>42461</v>
      </c>
      <c r="O40" s="95">
        <f>Expenses!O$2</f>
        <v>42491</v>
      </c>
      <c r="P40" s="120" t="s">
        <v>3</v>
      </c>
      <c r="Q40" s="120" t="s">
        <v>5</v>
      </c>
      <c r="R40" s="98"/>
    </row>
    <row r="41" ht="24.0" customHeight="1">
      <c r="A41" s="138"/>
      <c r="B41" s="121">
        <f t="array" ref="B41:B55">iferror(match(C41:C55,Expenses!A:A,0),"")</f>
        <v>4</v>
      </c>
      <c r="C41" s="139" t="s">
        <v>18</v>
      </c>
      <c r="D41" s="140">
        <f t="shared" ref="D41:D54" si="9">if(not(isblank(B41)), indirect("Expenses!D"&amp;B41&amp;":Q"&amp;B41),"")</f>
        <v>40</v>
      </c>
      <c r="E41" s="140">
        <v>40.0</v>
      </c>
      <c r="F41" s="140">
        <v>40.0</v>
      </c>
      <c r="G41" s="140">
        <v>40.0</v>
      </c>
      <c r="H41" s="140">
        <v>40.0</v>
      </c>
      <c r="I41" s="140">
        <v>40.0</v>
      </c>
      <c r="J41" s="140">
        <v>40.0</v>
      </c>
      <c r="K41" s="140">
        <v>40.0</v>
      </c>
      <c r="L41" s="140">
        <v>40.0</v>
      </c>
      <c r="M41" s="140">
        <v>40.0</v>
      </c>
      <c r="N41" s="140">
        <v>40.0</v>
      </c>
      <c r="O41" s="140">
        <v>40.0</v>
      </c>
      <c r="P41" s="141">
        <v>480.0</v>
      </c>
      <c r="Q41" s="141">
        <v>40.0</v>
      </c>
      <c r="R41" s="142"/>
    </row>
    <row r="42" ht="24.0" customHeight="1">
      <c r="A42" s="80"/>
      <c r="B42" s="125">
        <v>9.0</v>
      </c>
      <c r="C42" s="143" t="s">
        <v>24</v>
      </c>
      <c r="D42" s="144">
        <f t="shared" si="9"/>
        <v>335</v>
      </c>
      <c r="E42" s="144">
        <v>335.0</v>
      </c>
      <c r="F42" s="144">
        <v>335.0</v>
      </c>
      <c r="G42" s="144">
        <v>335.0</v>
      </c>
      <c r="H42" s="144">
        <v>335.0</v>
      </c>
      <c r="I42" s="144">
        <v>335.0</v>
      </c>
      <c r="J42" s="144">
        <v>335.0</v>
      </c>
      <c r="K42" s="144">
        <v>335.0</v>
      </c>
      <c r="L42" s="144">
        <v>335.0</v>
      </c>
      <c r="M42" s="144">
        <v>335.0</v>
      </c>
      <c r="N42" s="144">
        <v>335.0</v>
      </c>
      <c r="O42" s="144">
        <v>335.0</v>
      </c>
      <c r="P42" s="145">
        <v>4020.0</v>
      </c>
      <c r="Q42" s="145">
        <v>335.0</v>
      </c>
      <c r="R42" s="146"/>
    </row>
    <row r="43" ht="24.0" customHeight="1">
      <c r="A43" s="80"/>
      <c r="B43" s="125">
        <v>17.0</v>
      </c>
      <c r="C43" s="143" t="s">
        <v>30</v>
      </c>
      <c r="D43" s="144">
        <f t="shared" si="9"/>
        <v>5</v>
      </c>
      <c r="E43" s="144">
        <v>5.0</v>
      </c>
      <c r="F43" s="144">
        <v>5.0</v>
      </c>
      <c r="G43" s="144">
        <v>5.0</v>
      </c>
      <c r="H43" s="144">
        <v>5.0</v>
      </c>
      <c r="I43" s="144">
        <v>5.0</v>
      </c>
      <c r="J43" s="144">
        <v>5.0</v>
      </c>
      <c r="K43" s="144">
        <v>5.0</v>
      </c>
      <c r="L43" s="144">
        <v>5.0</v>
      </c>
      <c r="M43" s="144">
        <v>5.0</v>
      </c>
      <c r="N43" s="144">
        <v>5.0</v>
      </c>
      <c r="O43" s="144">
        <v>5.0</v>
      </c>
      <c r="P43" s="145">
        <v>60.0</v>
      </c>
      <c r="Q43" s="145">
        <v>5.0</v>
      </c>
      <c r="R43" s="146"/>
    </row>
    <row r="44" ht="24.0" customHeight="1">
      <c r="A44" s="80"/>
      <c r="B44" s="125">
        <v>22.0</v>
      </c>
      <c r="C44" s="143" t="s">
        <v>33</v>
      </c>
      <c r="D44" s="144">
        <f t="shared" si="9"/>
        <v>554.94</v>
      </c>
      <c r="E44" s="144">
        <v>554.94</v>
      </c>
      <c r="F44" s="144">
        <v>554.94</v>
      </c>
      <c r="G44" s="144">
        <v>554.94</v>
      </c>
      <c r="H44" s="144">
        <v>554.94</v>
      </c>
      <c r="I44" s="144">
        <v>554.94</v>
      </c>
      <c r="J44" s="144">
        <v>554.94</v>
      </c>
      <c r="K44" s="144">
        <v>554.94</v>
      </c>
      <c r="L44" s="144">
        <v>554.94</v>
      </c>
      <c r="M44" s="144">
        <v>554.94</v>
      </c>
      <c r="N44" s="144">
        <v>554.94</v>
      </c>
      <c r="O44" s="144">
        <v>554.94</v>
      </c>
      <c r="P44" s="145">
        <v>6659.2800000000025</v>
      </c>
      <c r="Q44" s="145">
        <v>554.9400000000002</v>
      </c>
      <c r="R44" s="146"/>
    </row>
    <row r="45" ht="24.0" customHeight="1">
      <c r="A45" s="80"/>
      <c r="B45" s="125">
        <v>31.0</v>
      </c>
      <c r="C45" s="143" t="s">
        <v>40</v>
      </c>
      <c r="D45" s="144">
        <f t="shared" si="9"/>
        <v>99.65</v>
      </c>
      <c r="E45" s="144">
        <v>99.64999999999999</v>
      </c>
      <c r="F45" s="144">
        <v>99.64999999999999</v>
      </c>
      <c r="G45" s="144">
        <v>99.64999999999999</v>
      </c>
      <c r="H45" s="144">
        <v>99.64999999999999</v>
      </c>
      <c r="I45" s="144">
        <v>99.64999999999999</v>
      </c>
      <c r="J45" s="144">
        <v>99.64999999999999</v>
      </c>
      <c r="K45" s="144">
        <v>99.64999999999999</v>
      </c>
      <c r="L45" s="144">
        <v>99.64999999999999</v>
      </c>
      <c r="M45" s="144">
        <v>99.64999999999999</v>
      </c>
      <c r="N45" s="144">
        <v>99.64999999999999</v>
      </c>
      <c r="O45" s="144">
        <v>99.64999999999999</v>
      </c>
      <c r="P45" s="145">
        <v>1195.8</v>
      </c>
      <c r="Q45" s="145">
        <v>99.64999999999999</v>
      </c>
      <c r="R45" s="146"/>
    </row>
    <row r="46" ht="24.0" customHeight="1">
      <c r="A46" s="80"/>
      <c r="B46" s="125">
        <v>36.0</v>
      </c>
      <c r="C46" s="143" t="s">
        <v>45</v>
      </c>
      <c r="D46" s="144">
        <f t="shared" si="9"/>
        <v>90</v>
      </c>
      <c r="E46" s="144">
        <v>90.0</v>
      </c>
      <c r="F46" s="144">
        <v>90.0</v>
      </c>
      <c r="G46" s="144">
        <v>90.0</v>
      </c>
      <c r="H46" s="144">
        <v>90.0</v>
      </c>
      <c r="I46" s="144">
        <v>90.0</v>
      </c>
      <c r="J46" s="144">
        <v>90.0</v>
      </c>
      <c r="K46" s="144">
        <v>90.0</v>
      </c>
      <c r="L46" s="144">
        <v>90.0</v>
      </c>
      <c r="M46" s="144">
        <v>90.0</v>
      </c>
      <c r="N46" s="144">
        <v>90.0</v>
      </c>
      <c r="O46" s="144">
        <v>90.0</v>
      </c>
      <c r="P46" s="145">
        <v>1080.0</v>
      </c>
      <c r="Q46" s="145">
        <v>90.0</v>
      </c>
      <c r="R46" s="146"/>
    </row>
    <row r="47" ht="24.0" customHeight="1">
      <c r="A47" s="80"/>
      <c r="B47" s="125">
        <v>43.0</v>
      </c>
      <c r="C47" s="143" t="s">
        <v>51</v>
      </c>
      <c r="D47" s="144">
        <f t="shared" si="9"/>
        <v>10</v>
      </c>
      <c r="E47" s="144">
        <v>10.0</v>
      </c>
      <c r="F47" s="144">
        <v>10.0</v>
      </c>
      <c r="G47" s="144">
        <v>10.0</v>
      </c>
      <c r="H47" s="144">
        <v>10.0</v>
      </c>
      <c r="I47" s="144">
        <v>10.0</v>
      </c>
      <c r="J47" s="144">
        <v>10.0</v>
      </c>
      <c r="K47" s="144">
        <v>10.0</v>
      </c>
      <c r="L47" s="144">
        <v>10.0</v>
      </c>
      <c r="M47" s="144">
        <v>10.0</v>
      </c>
      <c r="N47" s="144">
        <v>10.0</v>
      </c>
      <c r="O47" s="144">
        <v>10.0</v>
      </c>
      <c r="P47" s="145">
        <v>120.0</v>
      </c>
      <c r="Q47" s="145">
        <v>10.0</v>
      </c>
      <c r="R47" s="146"/>
    </row>
    <row r="48" ht="24.0" customHeight="1">
      <c r="A48" s="80"/>
      <c r="B48" s="125">
        <v>49.0</v>
      </c>
      <c r="C48" s="143" t="s">
        <v>55</v>
      </c>
      <c r="D48" s="144">
        <f t="shared" si="9"/>
        <v>95</v>
      </c>
      <c r="E48" s="144">
        <v>90.0</v>
      </c>
      <c r="F48" s="144">
        <v>90.0</v>
      </c>
      <c r="G48" s="144">
        <v>90.0</v>
      </c>
      <c r="H48" s="144">
        <v>95.0</v>
      </c>
      <c r="I48" s="144">
        <v>90.0</v>
      </c>
      <c r="J48" s="144">
        <v>90.0</v>
      </c>
      <c r="K48" s="144">
        <v>90.0</v>
      </c>
      <c r="L48" s="144">
        <v>95.0</v>
      </c>
      <c r="M48" s="144">
        <v>90.0</v>
      </c>
      <c r="N48" s="144">
        <v>90.0</v>
      </c>
      <c r="O48" s="144">
        <v>90.0</v>
      </c>
      <c r="P48" s="145">
        <v>1095.0</v>
      </c>
      <c r="Q48" s="145">
        <v>91.25</v>
      </c>
      <c r="R48" s="146"/>
    </row>
    <row r="49" ht="24.0" customHeight="1">
      <c r="A49" s="80"/>
      <c r="B49" s="125">
        <v>56.0</v>
      </c>
      <c r="C49" s="143" t="s">
        <v>56</v>
      </c>
      <c r="D49" s="144">
        <f t="shared" si="9"/>
        <v>158.37</v>
      </c>
      <c r="E49" s="144">
        <v>158.37</v>
      </c>
      <c r="F49" s="144">
        <v>223.37</v>
      </c>
      <c r="G49" s="144">
        <v>158.37</v>
      </c>
      <c r="H49" s="144">
        <v>223.37</v>
      </c>
      <c r="I49" s="144">
        <v>223.37</v>
      </c>
      <c r="J49" s="144">
        <v>223.37</v>
      </c>
      <c r="K49" s="144">
        <v>223.37</v>
      </c>
      <c r="L49" s="144">
        <v>223.37</v>
      </c>
      <c r="M49" s="144">
        <v>223.37</v>
      </c>
      <c r="N49" s="144">
        <v>158.37</v>
      </c>
      <c r="O49" s="144">
        <v>158.37</v>
      </c>
      <c r="P49" s="145">
        <v>2355.4399999999996</v>
      </c>
      <c r="Q49" s="145">
        <v>196.28666666666663</v>
      </c>
      <c r="R49" s="146"/>
    </row>
    <row r="50" ht="24.0" customHeight="1">
      <c r="A50" s="80"/>
      <c r="B50" s="125">
        <v>66.0</v>
      </c>
      <c r="C50" s="143" t="s">
        <v>23</v>
      </c>
      <c r="D50" s="144">
        <f t="shared" si="9"/>
        <v>0</v>
      </c>
      <c r="E50" s="144">
        <v>0.0</v>
      </c>
      <c r="F50" s="144">
        <v>0.0</v>
      </c>
      <c r="G50" s="144">
        <v>0.0</v>
      </c>
      <c r="H50" s="144">
        <v>0.0</v>
      </c>
      <c r="I50" s="144">
        <v>0.0</v>
      </c>
      <c r="J50" s="144">
        <v>0.0</v>
      </c>
      <c r="K50" s="144">
        <v>0.0</v>
      </c>
      <c r="L50" s="144">
        <v>0.0</v>
      </c>
      <c r="M50" s="144">
        <v>0.0</v>
      </c>
      <c r="N50" s="144">
        <v>0.0</v>
      </c>
      <c r="O50" s="144">
        <v>0.0</v>
      </c>
      <c r="P50" s="145">
        <v>0.0</v>
      </c>
      <c r="Q50" s="145">
        <v>0.0</v>
      </c>
      <c r="R50" s="146"/>
    </row>
    <row r="51" ht="24.0" customHeight="1">
      <c r="A51" s="80"/>
      <c r="B51" s="125"/>
      <c r="C51" s="143"/>
      <c r="D51" s="144" t="str">
        <f t="shared" si="9"/>
        <v/>
      </c>
      <c r="E51" s="144"/>
      <c r="F51" s="144"/>
      <c r="G51" s="144"/>
      <c r="H51" s="144"/>
      <c r="I51" s="144"/>
      <c r="J51" s="144"/>
      <c r="K51" s="144"/>
      <c r="L51" s="144"/>
      <c r="M51" s="144"/>
      <c r="N51" s="144"/>
      <c r="O51" s="144"/>
      <c r="P51" s="145"/>
      <c r="Q51" s="145"/>
      <c r="R51" s="146"/>
    </row>
    <row r="52" ht="24.0" customHeight="1">
      <c r="A52" s="80"/>
      <c r="B52" s="125"/>
      <c r="C52" s="143"/>
      <c r="D52" s="144" t="str">
        <f t="shared" si="9"/>
        <v/>
      </c>
      <c r="E52" s="144"/>
      <c r="F52" s="144"/>
      <c r="G52" s="144"/>
      <c r="H52" s="144"/>
      <c r="I52" s="144"/>
      <c r="J52" s="144"/>
      <c r="K52" s="144"/>
      <c r="L52" s="144"/>
      <c r="M52" s="144"/>
      <c r="N52" s="144"/>
      <c r="O52" s="144"/>
      <c r="P52" s="145"/>
      <c r="Q52" s="145"/>
      <c r="R52" s="146"/>
    </row>
    <row r="53" ht="24.0" customHeight="1">
      <c r="A53" s="80"/>
      <c r="B53" s="125"/>
      <c r="C53" s="143"/>
      <c r="D53" s="144" t="str">
        <f t="shared" si="9"/>
        <v/>
      </c>
      <c r="E53" s="144"/>
      <c r="F53" s="144"/>
      <c r="G53" s="144"/>
      <c r="H53" s="144"/>
      <c r="I53" s="144"/>
      <c r="J53" s="144"/>
      <c r="K53" s="144"/>
      <c r="L53" s="144"/>
      <c r="M53" s="144"/>
      <c r="N53" s="144"/>
      <c r="O53" s="144"/>
      <c r="P53" s="145"/>
      <c r="Q53" s="145"/>
      <c r="R53" s="147"/>
    </row>
    <row r="54" ht="24.0" customHeight="1">
      <c r="A54" s="80"/>
      <c r="B54" s="148"/>
      <c r="C54" s="143"/>
      <c r="D54" s="144" t="str">
        <f t="shared" si="9"/>
        <v/>
      </c>
      <c r="E54" s="144"/>
      <c r="F54" s="144"/>
      <c r="G54" s="144"/>
      <c r="H54" s="144"/>
      <c r="I54" s="144"/>
      <c r="J54" s="144"/>
      <c r="K54" s="144"/>
      <c r="L54" s="144"/>
      <c r="M54" s="144"/>
      <c r="N54" s="144"/>
      <c r="O54" s="144"/>
      <c r="P54" s="149"/>
      <c r="Q54" s="150"/>
      <c r="R54" s="115"/>
    </row>
    <row r="55" ht="45.0" customHeight="1">
      <c r="A55" s="80"/>
      <c r="B55" s="130"/>
      <c r="C55" s="109" t="s">
        <v>57</v>
      </c>
      <c r="D55" s="110">
        <f t="shared" ref="D55:P55" si="10">SUM(D41:D54)</f>
        <v>1387.96</v>
      </c>
      <c r="E55" s="110">
        <f t="shared" si="10"/>
        <v>1382.96</v>
      </c>
      <c r="F55" s="110">
        <f t="shared" si="10"/>
        <v>1447.96</v>
      </c>
      <c r="G55" s="110">
        <f t="shared" si="10"/>
        <v>1382.96</v>
      </c>
      <c r="H55" s="110">
        <f t="shared" si="10"/>
        <v>1452.96</v>
      </c>
      <c r="I55" s="110">
        <f t="shared" si="10"/>
        <v>1447.96</v>
      </c>
      <c r="J55" s="110">
        <f t="shared" si="10"/>
        <v>1447.96</v>
      </c>
      <c r="K55" s="110">
        <f t="shared" si="10"/>
        <v>1447.96</v>
      </c>
      <c r="L55" s="110">
        <f t="shared" si="10"/>
        <v>1452.96</v>
      </c>
      <c r="M55" s="110">
        <f t="shared" si="10"/>
        <v>1447.96</v>
      </c>
      <c r="N55" s="110">
        <f t="shared" si="10"/>
        <v>1382.96</v>
      </c>
      <c r="O55" s="110">
        <f t="shared" si="10"/>
        <v>1382.96</v>
      </c>
      <c r="P55" s="151">
        <f t="shared" si="10"/>
        <v>17065.52</v>
      </c>
      <c r="Q55" s="150"/>
      <c r="R55" s="115"/>
    </row>
    <row r="56" ht="19.5" customHeight="1">
      <c r="A56" s="80"/>
      <c r="B56" s="125"/>
      <c r="C56" s="152"/>
      <c r="D56" s="153" t="str">
        <f t="shared" ref="D56:D77" si="11">if(not(isblank(B56)), indirect("Expenses!D"&amp;B56&amp;":Q"&amp;B56),"")</f>
        <v/>
      </c>
      <c r="E56" s="153"/>
      <c r="F56" s="153"/>
      <c r="G56" s="153"/>
      <c r="H56" s="153"/>
      <c r="I56" s="153"/>
      <c r="J56" s="153"/>
      <c r="K56" s="153"/>
      <c r="L56" s="153"/>
      <c r="M56" s="153"/>
      <c r="N56" s="153"/>
      <c r="O56" s="153"/>
      <c r="P56" s="154"/>
      <c r="Q56" s="154"/>
      <c r="R56" s="155"/>
    </row>
    <row r="57" ht="19.5" customHeight="1">
      <c r="A57" s="80"/>
      <c r="B57" s="81"/>
      <c r="C57" s="84"/>
      <c r="D57" s="156" t="str">
        <f t="shared" si="11"/>
        <v/>
      </c>
      <c r="E57" s="157"/>
      <c r="F57" s="157"/>
      <c r="G57" s="157"/>
      <c r="H57" s="157"/>
      <c r="I57" s="157"/>
      <c r="J57" s="157"/>
      <c r="K57" s="157"/>
      <c r="L57" s="157"/>
      <c r="M57" s="157"/>
      <c r="N57" s="157"/>
      <c r="O57" s="157"/>
      <c r="P57" s="158"/>
      <c r="Q57" s="158"/>
      <c r="R57" s="159"/>
    </row>
    <row r="58" ht="19.5" customHeight="1">
      <c r="A58" s="80"/>
      <c r="B58" s="81"/>
      <c r="C58" s="29"/>
      <c r="D58" s="156" t="str">
        <f t="shared" si="11"/>
        <v/>
      </c>
      <c r="E58" s="157"/>
      <c r="F58" s="157"/>
      <c r="G58" s="157"/>
      <c r="H58" s="157"/>
      <c r="I58" s="157"/>
      <c r="J58" s="157"/>
      <c r="K58" s="157"/>
      <c r="L58" s="157"/>
      <c r="M58" s="157"/>
      <c r="N58" s="157"/>
      <c r="O58" s="157"/>
      <c r="P58" s="158"/>
      <c r="Q58" s="158"/>
      <c r="R58" s="84"/>
    </row>
    <row r="59" ht="19.5" customHeight="1">
      <c r="A59" s="80"/>
      <c r="B59" s="81"/>
      <c r="C59" s="29"/>
      <c r="D59" s="156" t="str">
        <f t="shared" si="11"/>
        <v/>
      </c>
      <c r="E59" s="160"/>
      <c r="F59" s="161"/>
      <c r="G59" s="161"/>
      <c r="H59" s="162"/>
      <c r="I59" s="161"/>
      <c r="J59" s="161"/>
      <c r="K59" s="161"/>
      <c r="L59" s="161"/>
      <c r="M59" s="161"/>
      <c r="N59" s="161"/>
      <c r="O59" s="161"/>
      <c r="P59" s="163"/>
      <c r="Q59" s="163"/>
      <c r="R59" s="84"/>
    </row>
    <row r="60" ht="19.5" customHeight="1">
      <c r="A60" s="80"/>
      <c r="B60" s="81"/>
      <c r="C60" s="29"/>
      <c r="D60" s="156" t="str">
        <f t="shared" si="11"/>
        <v/>
      </c>
      <c r="E60" s="160"/>
      <c r="F60" s="161"/>
      <c r="G60" s="161"/>
      <c r="H60" s="162"/>
      <c r="I60" s="161"/>
      <c r="J60" s="161"/>
      <c r="K60" s="161"/>
      <c r="L60" s="161"/>
      <c r="M60" s="161"/>
      <c r="N60" s="161"/>
      <c r="O60" s="161"/>
      <c r="P60" s="163"/>
      <c r="Q60" s="163"/>
      <c r="R60" s="84"/>
    </row>
    <row r="61" ht="19.5" customHeight="1">
      <c r="A61" s="80"/>
      <c r="B61" s="81"/>
      <c r="C61" s="29"/>
      <c r="D61" s="156" t="str">
        <f t="shared" si="11"/>
        <v/>
      </c>
      <c r="E61" s="160"/>
      <c r="F61" s="161"/>
      <c r="G61" s="161"/>
      <c r="H61" s="162"/>
      <c r="I61" s="161"/>
      <c r="J61" s="161"/>
      <c r="K61" s="161"/>
      <c r="L61" s="161"/>
      <c r="M61" s="161"/>
      <c r="N61" s="161"/>
      <c r="O61" s="161"/>
      <c r="P61" s="163"/>
      <c r="Q61" s="163"/>
      <c r="R61" s="84"/>
    </row>
    <row r="62" ht="19.5" customHeight="1">
      <c r="A62" s="80"/>
      <c r="B62" s="81"/>
      <c r="C62" s="29"/>
      <c r="D62" s="156" t="str">
        <f t="shared" si="11"/>
        <v/>
      </c>
      <c r="E62" s="160"/>
      <c r="F62" s="161"/>
      <c r="G62" s="161"/>
      <c r="H62" s="162"/>
      <c r="I62" s="161"/>
      <c r="J62" s="161"/>
      <c r="K62" s="161"/>
      <c r="L62" s="161"/>
      <c r="M62" s="161"/>
      <c r="N62" s="161"/>
      <c r="O62" s="161"/>
      <c r="P62" s="163"/>
      <c r="Q62" s="163"/>
      <c r="R62" s="84"/>
    </row>
    <row r="63" ht="19.5" customHeight="1">
      <c r="A63" s="80"/>
      <c r="B63" s="81"/>
      <c r="C63" s="84"/>
      <c r="D63" s="156" t="str">
        <f t="shared" si="11"/>
        <v/>
      </c>
      <c r="E63" s="161"/>
      <c r="F63" s="161"/>
      <c r="G63" s="161"/>
      <c r="H63" s="162"/>
      <c r="I63" s="161"/>
      <c r="J63" s="161"/>
      <c r="K63" s="161"/>
      <c r="L63" s="161"/>
      <c r="M63" s="161"/>
      <c r="N63" s="161"/>
      <c r="O63" s="161"/>
      <c r="P63" s="163"/>
      <c r="Q63" s="163"/>
      <c r="R63" s="84"/>
    </row>
    <row r="64" ht="19.5" customHeight="1">
      <c r="A64" s="80"/>
      <c r="B64" s="81"/>
      <c r="C64" s="84"/>
      <c r="D64" s="156" t="str">
        <f t="shared" si="11"/>
        <v/>
      </c>
      <c r="E64" s="161"/>
      <c r="F64" s="161"/>
      <c r="G64" s="161"/>
      <c r="H64" s="162"/>
      <c r="I64" s="161"/>
      <c r="J64" s="161"/>
      <c r="K64" s="161"/>
      <c r="L64" s="161"/>
      <c r="M64" s="161"/>
      <c r="N64" s="161"/>
      <c r="O64" s="161"/>
      <c r="P64" s="163"/>
      <c r="Q64" s="163"/>
      <c r="R64" s="84"/>
    </row>
    <row r="65" ht="19.5" customHeight="1">
      <c r="A65" s="80"/>
      <c r="B65" s="81"/>
      <c r="C65" s="84"/>
      <c r="D65" s="156" t="str">
        <f t="shared" si="11"/>
        <v/>
      </c>
      <c r="E65" s="161"/>
      <c r="F65" s="161"/>
      <c r="G65" s="161"/>
      <c r="H65" s="162"/>
      <c r="I65" s="161"/>
      <c r="J65" s="161"/>
      <c r="K65" s="161"/>
      <c r="L65" s="161"/>
      <c r="M65" s="161"/>
      <c r="N65" s="161"/>
      <c r="O65" s="161"/>
      <c r="P65" s="163"/>
      <c r="Q65" s="163"/>
      <c r="R65" s="84"/>
    </row>
    <row r="66" ht="19.5" customHeight="1">
      <c r="A66" s="80"/>
      <c r="B66" s="81"/>
      <c r="C66" s="84"/>
      <c r="D66" s="156" t="str">
        <f t="shared" si="11"/>
        <v/>
      </c>
      <c r="E66" s="161"/>
      <c r="F66" s="161"/>
      <c r="G66" s="161"/>
      <c r="H66" s="162"/>
      <c r="I66" s="161"/>
      <c r="J66" s="161"/>
      <c r="K66" s="161"/>
      <c r="L66" s="161"/>
      <c r="M66" s="161"/>
      <c r="N66" s="161"/>
      <c r="O66" s="161"/>
      <c r="P66" s="163"/>
      <c r="Q66" s="163"/>
      <c r="R66" s="84"/>
    </row>
    <row r="67" ht="19.5" customHeight="1">
      <c r="A67" s="80"/>
      <c r="B67" s="81"/>
      <c r="C67" s="84"/>
      <c r="D67" s="156" t="str">
        <f t="shared" si="11"/>
        <v/>
      </c>
      <c r="E67" s="161"/>
      <c r="F67" s="161"/>
      <c r="G67" s="161"/>
      <c r="H67" s="162"/>
      <c r="I67" s="161"/>
      <c r="J67" s="161"/>
      <c r="K67" s="161"/>
      <c r="L67" s="161"/>
      <c r="M67" s="161"/>
      <c r="N67" s="161"/>
      <c r="O67" s="161"/>
      <c r="P67" s="163"/>
      <c r="Q67" s="163"/>
      <c r="R67" s="84"/>
    </row>
    <row r="68" ht="19.5" customHeight="1">
      <c r="A68" s="80"/>
      <c r="B68" s="81"/>
      <c r="C68" s="84"/>
      <c r="D68" s="156" t="str">
        <f t="shared" si="11"/>
        <v/>
      </c>
      <c r="E68" s="161"/>
      <c r="F68" s="161"/>
      <c r="G68" s="161"/>
      <c r="H68" s="162"/>
      <c r="I68" s="161"/>
      <c r="J68" s="161"/>
      <c r="K68" s="161"/>
      <c r="L68" s="161"/>
      <c r="M68" s="161"/>
      <c r="N68" s="161"/>
      <c r="O68" s="161"/>
      <c r="P68" s="163"/>
      <c r="Q68" s="163"/>
      <c r="R68" s="84"/>
    </row>
    <row r="69" ht="19.5" customHeight="1">
      <c r="A69" s="80"/>
      <c r="B69" s="81"/>
      <c r="C69" s="84"/>
      <c r="D69" s="156" t="str">
        <f t="shared" si="11"/>
        <v/>
      </c>
      <c r="E69" s="161"/>
      <c r="F69" s="161"/>
      <c r="G69" s="161"/>
      <c r="H69" s="162"/>
      <c r="I69" s="161"/>
      <c r="J69" s="161"/>
      <c r="K69" s="161"/>
      <c r="L69" s="161"/>
      <c r="M69" s="161"/>
      <c r="N69" s="161"/>
      <c r="O69" s="161"/>
      <c r="P69" s="163"/>
      <c r="Q69" s="163"/>
      <c r="R69" s="84"/>
    </row>
    <row r="70" ht="19.5" customHeight="1">
      <c r="A70" s="80"/>
      <c r="B70" s="81"/>
      <c r="C70" s="84"/>
      <c r="D70" s="156" t="str">
        <f t="shared" si="11"/>
        <v/>
      </c>
      <c r="E70" s="161"/>
      <c r="F70" s="161"/>
      <c r="G70" s="161"/>
      <c r="H70" s="162"/>
      <c r="I70" s="161"/>
      <c r="J70" s="161"/>
      <c r="K70" s="161"/>
      <c r="L70" s="161"/>
      <c r="M70" s="161"/>
      <c r="N70" s="161"/>
      <c r="O70" s="161"/>
      <c r="P70" s="163"/>
      <c r="Q70" s="163"/>
      <c r="R70" s="84"/>
    </row>
    <row r="71" ht="19.5" customHeight="1">
      <c r="A71" s="80"/>
      <c r="B71" s="81"/>
      <c r="C71" s="84"/>
      <c r="D71" s="156" t="str">
        <f t="shared" si="11"/>
        <v/>
      </c>
      <c r="E71" s="161"/>
      <c r="F71" s="161"/>
      <c r="G71" s="161"/>
      <c r="H71" s="162"/>
      <c r="I71" s="161"/>
      <c r="J71" s="161"/>
      <c r="K71" s="161"/>
      <c r="L71" s="161"/>
      <c r="M71" s="161"/>
      <c r="N71" s="161"/>
      <c r="O71" s="161"/>
      <c r="P71" s="163"/>
      <c r="Q71" s="163"/>
      <c r="R71" s="84"/>
    </row>
    <row r="72" ht="19.5" customHeight="1">
      <c r="A72" s="80"/>
      <c r="B72" s="81"/>
      <c r="C72" s="84"/>
      <c r="D72" s="156" t="str">
        <f t="shared" si="11"/>
        <v/>
      </c>
      <c r="E72" s="161"/>
      <c r="F72" s="161"/>
      <c r="G72" s="161"/>
      <c r="H72" s="162"/>
      <c r="I72" s="161"/>
      <c r="J72" s="161"/>
      <c r="K72" s="161"/>
      <c r="L72" s="161"/>
      <c r="M72" s="161"/>
      <c r="N72" s="161"/>
      <c r="O72" s="161"/>
      <c r="P72" s="163"/>
      <c r="Q72" s="163"/>
      <c r="R72" s="84"/>
    </row>
    <row r="73" ht="19.5" customHeight="1">
      <c r="A73" s="80"/>
      <c r="B73" s="81"/>
      <c r="C73" s="84"/>
      <c r="D73" s="156" t="str">
        <f t="shared" si="11"/>
        <v/>
      </c>
      <c r="E73" s="161"/>
      <c r="F73" s="161"/>
      <c r="G73" s="161"/>
      <c r="H73" s="162"/>
      <c r="I73" s="161"/>
      <c r="J73" s="161"/>
      <c r="K73" s="161"/>
      <c r="L73" s="161"/>
      <c r="M73" s="161"/>
      <c r="N73" s="161"/>
      <c r="O73" s="161"/>
      <c r="P73" s="163"/>
      <c r="Q73" s="163"/>
      <c r="R73" s="84"/>
    </row>
    <row r="74" ht="19.5" customHeight="1">
      <c r="A74" s="80"/>
      <c r="B74" s="81"/>
      <c r="C74" s="84"/>
      <c r="D74" s="156" t="str">
        <f t="shared" si="11"/>
        <v/>
      </c>
      <c r="E74" s="161"/>
      <c r="F74" s="161"/>
      <c r="G74" s="161"/>
      <c r="H74" s="162"/>
      <c r="I74" s="161"/>
      <c r="J74" s="161"/>
      <c r="K74" s="161"/>
      <c r="L74" s="161"/>
      <c r="M74" s="161"/>
      <c r="N74" s="161"/>
      <c r="O74" s="161"/>
      <c r="P74" s="163"/>
      <c r="Q74" s="163"/>
      <c r="R74" s="84"/>
    </row>
    <row r="75" ht="19.5" customHeight="1">
      <c r="A75" s="80"/>
      <c r="B75" s="81"/>
      <c r="C75" s="84"/>
      <c r="D75" s="156" t="str">
        <f t="shared" si="11"/>
        <v/>
      </c>
      <c r="E75" s="161"/>
      <c r="F75" s="161"/>
      <c r="G75" s="161"/>
      <c r="H75" s="162"/>
      <c r="I75" s="161"/>
      <c r="J75" s="161"/>
      <c r="K75" s="161"/>
      <c r="L75" s="161"/>
      <c r="M75" s="161"/>
      <c r="N75" s="161"/>
      <c r="O75" s="161"/>
      <c r="P75" s="163"/>
      <c r="Q75" s="163"/>
      <c r="R75" s="84"/>
    </row>
    <row r="76" ht="19.5" customHeight="1">
      <c r="A76" s="80"/>
      <c r="B76" s="81"/>
      <c r="C76" s="84"/>
      <c r="D76" s="156" t="str">
        <f t="shared" si="11"/>
        <v/>
      </c>
      <c r="E76" s="161"/>
      <c r="F76" s="161"/>
      <c r="G76" s="161"/>
      <c r="H76" s="162"/>
      <c r="I76" s="161"/>
      <c r="J76" s="161"/>
      <c r="K76" s="161"/>
      <c r="L76" s="161"/>
      <c r="M76" s="161"/>
      <c r="N76" s="161"/>
      <c r="O76" s="161"/>
      <c r="P76" s="163"/>
      <c r="Q76" s="163"/>
      <c r="R76" s="84"/>
    </row>
    <row r="77" ht="19.5" customHeight="1">
      <c r="A77" s="80"/>
      <c r="B77" s="81"/>
      <c r="C77" s="84"/>
      <c r="D77" s="156" t="str">
        <f t="shared" si="11"/>
        <v/>
      </c>
      <c r="E77" s="161"/>
      <c r="F77" s="161"/>
      <c r="G77" s="161"/>
      <c r="H77" s="162"/>
      <c r="I77" s="161"/>
      <c r="J77" s="161"/>
      <c r="K77" s="161"/>
      <c r="L77" s="161"/>
      <c r="M77" s="161"/>
      <c r="N77" s="161"/>
      <c r="O77" s="161"/>
      <c r="P77" s="163"/>
      <c r="Q77" s="163"/>
      <c r="R77" s="84"/>
    </row>
  </sheetData>
  <conditionalFormatting sqref="D21:O21">
    <cfRule type="cellIs" dxfId="0" priority="1" operator="lessThan">
      <formula>0</formula>
    </cfRule>
  </conditionalFormatting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 outlineLevelCol="1" outlineLevelRow="1"/>
  <cols>
    <col customWidth="1" min="1" max="1" width="5.13"/>
    <col customWidth="1" min="2" max="2" width="14.63"/>
    <col customWidth="1" min="3" max="3" width="26.0"/>
    <col customWidth="1" min="4" max="5" width="8.13"/>
    <col customWidth="1" min="6" max="7" width="5.13"/>
  </cols>
  <sheetData>
    <row r="1" ht="6.0" customHeight="1">
      <c r="A1" s="1"/>
      <c r="B1" s="3"/>
      <c r="C1" s="3"/>
      <c r="D1" s="5"/>
      <c r="E1" s="5"/>
      <c r="F1" s="5"/>
      <c r="G1" s="3"/>
    </row>
    <row r="2" ht="42.0" customHeight="1">
      <c r="A2" s="7"/>
      <c r="B2" s="9" t="s">
        <v>0</v>
      </c>
      <c r="G2" s="11"/>
    </row>
    <row r="3" ht="30.0" customHeight="1">
      <c r="A3" s="14"/>
      <c r="B3" s="16" t="s">
        <v>2</v>
      </c>
      <c r="G3" s="18"/>
    </row>
    <row r="4" ht="12.0" customHeight="1">
      <c r="A4" s="19"/>
      <c r="B4" s="20"/>
      <c r="C4" s="20"/>
      <c r="D4" s="21"/>
      <c r="E4" s="21"/>
      <c r="F4" s="21"/>
      <c r="G4" s="23"/>
    </row>
    <row r="5" ht="12.0" customHeight="1">
      <c r="A5" s="19"/>
      <c r="B5" s="23"/>
      <c r="C5" s="23"/>
      <c r="D5" s="25"/>
      <c r="E5" s="25"/>
      <c r="F5" s="25"/>
      <c r="G5" s="23"/>
    </row>
    <row r="6" ht="30.0" customHeight="1">
      <c r="A6" s="26"/>
      <c r="B6" s="27" t="s">
        <v>7</v>
      </c>
      <c r="C6" s="29"/>
      <c r="D6" s="25"/>
      <c r="E6" s="25"/>
      <c r="F6" s="25"/>
      <c r="G6" s="29"/>
    </row>
    <row r="7" ht="22.5" customHeight="1">
      <c r="A7" s="31" t="s">
        <v>8</v>
      </c>
      <c r="B7" s="33" t="s">
        <v>10</v>
      </c>
      <c r="G7" s="34"/>
    </row>
    <row r="8" ht="22.5" customHeight="1">
      <c r="A8" s="31" t="s">
        <v>11</v>
      </c>
      <c r="B8" s="33" t="s">
        <v>12</v>
      </c>
      <c r="G8" s="34"/>
    </row>
    <row r="9" ht="22.5" customHeight="1">
      <c r="A9" s="31" t="s">
        <v>13</v>
      </c>
      <c r="B9" s="33" t="s">
        <v>14</v>
      </c>
      <c r="G9" s="34"/>
    </row>
    <row r="10" ht="18.0" customHeight="1">
      <c r="A10" s="19"/>
      <c r="B10" s="20"/>
      <c r="C10" s="20"/>
      <c r="D10" s="21"/>
      <c r="E10" s="21"/>
      <c r="F10" s="21"/>
      <c r="G10" s="23"/>
    </row>
    <row r="11" ht="18.0" customHeight="1">
      <c r="A11" s="19"/>
      <c r="B11" s="23"/>
      <c r="C11" s="23"/>
      <c r="D11" s="25"/>
      <c r="E11" s="25"/>
      <c r="F11" s="25"/>
      <c r="G11" s="23"/>
    </row>
    <row r="12" ht="30.0" customHeight="1">
      <c r="A12" s="26"/>
      <c r="B12" s="27" t="s">
        <v>15</v>
      </c>
      <c r="C12" s="29"/>
      <c r="D12" s="25"/>
      <c r="E12" s="25"/>
      <c r="F12" s="25"/>
      <c r="G12" s="29"/>
    </row>
    <row r="13" ht="18.0" customHeight="1">
      <c r="A13" s="14"/>
      <c r="B13" s="39" t="s">
        <v>16</v>
      </c>
      <c r="C13" s="40">
        <v>0.0</v>
      </c>
      <c r="D13" s="42" t="s">
        <v>17</v>
      </c>
      <c r="E13" s="44">
        <v>2.0</v>
      </c>
      <c r="F13" s="42"/>
      <c r="G13" s="18"/>
    </row>
    <row r="14" ht="18.0" customHeight="1">
      <c r="A14" s="14"/>
      <c r="B14" s="45"/>
      <c r="C14" s="18"/>
      <c r="D14" s="46"/>
      <c r="E14" s="46"/>
      <c r="F14" s="46"/>
      <c r="G14" s="18"/>
    </row>
  </sheetData>
  <mergeCells count="5">
    <mergeCell ref="B2:F2"/>
    <mergeCell ref="B3:F3"/>
    <mergeCell ref="B7:F7"/>
    <mergeCell ref="B8:F8"/>
    <mergeCell ref="B9:F9"/>
  </mergeCells>
  <drawing r:id="rId1"/>
</worksheet>
</file>